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https://pitt-my.sharepoint.com/personal/akd90_pitt_edu/Documents/Research/My research/PhD Work/"/>
    </mc:Choice>
  </mc:AlternateContent>
  <xr:revisionPtr revIDLastSave="280" documentId="8_{A73E71DE-6919-274A-BC6B-323A367AAEC0}" xr6:coauthVersionLast="47" xr6:coauthVersionMax="47" xr10:uidLastSave="{F473BD29-B0D3-BB4D-AD43-120D3B29E443}"/>
  <bookViews>
    <workbookView xWindow="33600" yWindow="3900" windowWidth="28800" windowHeight="16520" activeTab="3" xr2:uid="{00000000-000D-0000-FFFF-FFFF00000000}"/>
  </bookViews>
  <sheets>
    <sheet name="ML Dataset" sheetId="1" r:id="rId1"/>
    <sheet name="Legend &amp; Instructions" sheetId="2" r:id="rId2"/>
    <sheet name="Kinetics Parameters" sheetId="3" r:id="rId3"/>
    <sheet name="HFILOH Dwell tim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45" i="4" l="1"/>
  <c r="V36" i="4"/>
  <c r="V37" i="4"/>
  <c r="V38" i="4"/>
  <c r="V39" i="4"/>
  <c r="V40" i="4"/>
  <c r="V41" i="4"/>
  <c r="V42" i="4"/>
  <c r="V43" i="4"/>
  <c r="V44" i="4"/>
  <c r="V27" i="4"/>
  <c r="V28" i="4"/>
  <c r="V29" i="4"/>
  <c r="V30" i="4"/>
  <c r="V31" i="4"/>
  <c r="V32" i="4"/>
  <c r="V33" i="4"/>
  <c r="V34" i="4"/>
  <c r="V35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6" i="4"/>
  <c r="V7" i="4"/>
  <c r="V8" i="4"/>
  <c r="V9" i="4"/>
  <c r="V10" i="4"/>
  <c r="V11" i="4"/>
  <c r="V5" i="4"/>
  <c r="Q16" i="4"/>
  <c r="Q15" i="4"/>
  <c r="Q14" i="4"/>
  <c r="Q13" i="4"/>
  <c r="Q12" i="4"/>
  <c r="Q11" i="4"/>
  <c r="Q10" i="4"/>
  <c r="Q9" i="4"/>
  <c r="Q8" i="4"/>
  <c r="Q7" i="4"/>
  <c r="Q6" i="4"/>
  <c r="P16" i="4"/>
  <c r="P15" i="4"/>
  <c r="P14" i="4"/>
  <c r="P13" i="4"/>
  <c r="P12" i="4"/>
  <c r="P11" i="4"/>
  <c r="P10" i="4"/>
  <c r="P9" i="4"/>
  <c r="P8" i="4"/>
  <c r="P7" i="4"/>
  <c r="P6" i="4"/>
  <c r="U16" i="4"/>
  <c r="U15" i="4"/>
  <c r="U14" i="4"/>
  <c r="U13" i="4"/>
  <c r="U12" i="4"/>
  <c r="U11" i="4"/>
  <c r="U10" i="4"/>
  <c r="U9" i="4"/>
  <c r="U8" i="4"/>
  <c r="U7" i="4"/>
  <c r="U6" i="4"/>
</calcChain>
</file>

<file path=xl/sharedStrings.xml><?xml version="1.0" encoding="utf-8"?>
<sst xmlns="http://schemas.openxmlformats.org/spreadsheetml/2006/main" count="1946" uniqueCount="446">
  <si>
    <t>Aim 3 — ML Dataset Master Spreadsheet  (49 rows × 36 columns)</t>
  </si>
  <si>
    <t>ID &amp; Metadata</t>
  </si>
  <si>
    <t>Molecular Structure (Manual)</t>
  </si>
  <si>
    <t>RDKit Descriptors (Auto-generated)</t>
  </si>
  <si>
    <t>Experimental Conditions</t>
  </si>
  <si>
    <t>Target Properties — Thin Film</t>
  </si>
  <si>
    <t>Target Properties — Tribology &amp; Thermal</t>
  </si>
  <si>
    <t>IL ID</t>
  </si>
  <si>
    <t>IL Name</t>
  </si>
  <si>
    <t>Source</t>
  </si>
  <si>
    <t>Data Quality</t>
  </si>
  <si>
    <t>Substrate</t>
  </si>
  <si>
    <t>Measurement Type</t>
  </si>
  <si>
    <t>Cation Family</t>
  </si>
  <si>
    <t>Anion Family</t>
  </si>
  <si>
    <t>F Chain
Length (cat)</t>
  </si>
  <si>
    <t>–OH Count
(cat)</t>
  </si>
  <si>
    <t>Cation SMILES</t>
  </si>
  <si>
    <t>Anion SMILES</t>
  </si>
  <si>
    <t>MW Cation
(g/mol)</t>
  </si>
  <si>
    <t>MW Anion
(g/mol)</t>
  </si>
  <si>
    <t>F Count
(cat)</t>
  </si>
  <si>
    <t>F Count
(an)</t>
  </si>
  <si>
    <t>HBD (cat)</t>
  </si>
  <si>
    <t>HBA (cat)</t>
  </si>
  <si>
    <t>TPSA (cat)
(Å²)</t>
  </si>
  <si>
    <t>Rot. Bonds
(cat)</t>
  </si>
  <si>
    <t>Ring Count
(cat)</t>
  </si>
  <si>
    <t>Conc.
(g/L)</t>
  </si>
  <si>
    <t>Dwell Time
(s)</t>
  </si>
  <si>
    <t>Withdrawal
Speed (mm/s)</t>
  </si>
  <si>
    <t>UV Dose
(min)</t>
  </si>
  <si>
    <t>ML Thick.
(nm)</t>
  </si>
  <si>
    <t>Bonded
(nm)</t>
  </si>
  <si>
    <t>Mobile
(nm)</t>
  </si>
  <si>
    <t>Bonded
Fraction</t>
  </si>
  <si>
    <t>WCA (°)</t>
  </si>
  <si>
    <t>HCA (°)</t>
  </si>
  <si>
    <t>CoF</t>
  </si>
  <si>
    <t>Surf. Tension
(mN/m)</t>
  </si>
  <si>
    <t>TGA Onset
(°C)</t>
  </si>
  <si>
    <t>Viscosity
(mPa·s)</t>
  </si>
  <si>
    <t>D_film
(nm²/s)</t>
  </si>
  <si>
    <t>IL-004a-C01</t>
  </si>
  <si>
    <t>HFILOH</t>
  </si>
  <si>
    <t>Dahiru &amp; Li (2025) Langmuir</t>
  </si>
  <si>
    <t>Internal (1.0×)</t>
  </si>
  <si>
    <t>silica</t>
  </si>
  <si>
    <t>Conc. sweep (dwell=30s)</t>
  </si>
  <si>
    <t>Imidazolium</t>
  </si>
  <si>
    <t>BNFSI</t>
  </si>
  <si>
    <t>6</t>
  </si>
  <si>
    <t>1</t>
  </si>
  <si>
    <t>OCC[n+]1ccnc1CC(F)(F)C(F)(F)C(F)(F)F</t>
  </si>
  <si>
    <t>O=S(=O)([N-]S(=O)(=O)C(F)(F)(F)C(F)(F)F)C(F)(F)(F)C(F)(F)F</t>
  </si>
  <si>
    <t>~370</t>
  </si>
  <si>
    <t>~530</t>
  </si>
  <si>
    <t>13</t>
  </si>
  <si>
    <t>18</t>
  </si>
  <si>
    <t>3</t>
  </si>
  <si>
    <t>38.3</t>
  </si>
  <si>
    <t>7</t>
  </si>
  <si>
    <t>0.1</t>
  </si>
  <si>
    <t>30</t>
  </si>
  <si>
    <t>0</t>
  </si>
  <si>
    <t>0.75</t>
  </si>
  <si>
    <t>0.35</t>
  </si>
  <si>
    <t>0.778</t>
  </si>
  <si>
    <t>~30</t>
  </si>
  <si>
    <t>~72</t>
  </si>
  <si>
    <t>✓ Wang et al. (2022)</t>
  </si>
  <si>
    <t>18.2</t>
  </si>
  <si>
    <t>&gt;350</t>
  </si>
  <si>
    <t>Aim 2</t>
  </si>
  <si>
    <t>IL-004a-C02</t>
  </si>
  <si>
    <t>0.3</t>
  </si>
  <si>
    <t>0.4</t>
  </si>
  <si>
    <t>0.25</t>
  </si>
  <si>
    <t>0.615</t>
  </si>
  <si>
    <t>IL-004a-C03</t>
  </si>
  <si>
    <t>0.5</t>
  </si>
  <si>
    <t>0.45</t>
  </si>
  <si>
    <t>0.474</t>
  </si>
  <si>
    <t>IL-004a-C04</t>
  </si>
  <si>
    <t>0.47</t>
  </si>
  <si>
    <t>0.385</t>
  </si>
  <si>
    <t>IL-004a-C05</t>
  </si>
  <si>
    <t>1.0</t>
  </si>
  <si>
    <t>0.42</t>
  </si>
  <si>
    <t>0.296</t>
  </si>
  <si>
    <t>IL-004a-C06</t>
  </si>
  <si>
    <t>1.25</t>
  </si>
  <si>
    <t>1.1</t>
  </si>
  <si>
    <t>0.312</t>
  </si>
  <si>
    <t>IL-004a-C07</t>
  </si>
  <si>
    <t>1.5</t>
  </si>
  <si>
    <t>0.71</t>
  </si>
  <si>
    <t>1.2</t>
  </si>
  <si>
    <t>0.372</t>
  </si>
  <si>
    <t>IL-004a-C08</t>
  </si>
  <si>
    <t>1.75</t>
  </si>
  <si>
    <t>0.73</t>
  </si>
  <si>
    <t>1.35</t>
  </si>
  <si>
    <t>0.351</t>
  </si>
  <si>
    <t>IL-004a-C09</t>
  </si>
  <si>
    <t>2.0</t>
  </si>
  <si>
    <t>0.333</t>
  </si>
  <si>
    <t>IL-004b-05C-T01</t>
  </si>
  <si>
    <t>Dwell sweep (0.5 g/L)</t>
  </si>
  <si>
    <t>0.449</t>
  </si>
  <si>
    <t>0.473</t>
  </si>
  <si>
    <t>30.2</t>
  </si>
  <si>
    <t>72.5</t>
  </si>
  <si>
    <t>IL-004b-05C-T02</t>
  </si>
  <si>
    <t>100</t>
  </si>
  <si>
    <t>0.459</t>
  </si>
  <si>
    <t>0.479</t>
  </si>
  <si>
    <t>30.5</t>
  </si>
  <si>
    <t>IL-004b-05C-T03</t>
  </si>
  <si>
    <t>300</t>
  </si>
  <si>
    <t>0.485</t>
  </si>
  <si>
    <t>0.492</t>
  </si>
  <si>
    <t>31.5</t>
  </si>
  <si>
    <t>IL-004b-05C-T04</t>
  </si>
  <si>
    <t>600</t>
  </si>
  <si>
    <t>0.52</t>
  </si>
  <si>
    <t>0.51</t>
  </si>
  <si>
    <t>32.8</t>
  </si>
  <si>
    <t>IL-004b-05C-T05</t>
  </si>
  <si>
    <t>1000</t>
  </si>
  <si>
    <t>0.56</t>
  </si>
  <si>
    <t>0.528</t>
  </si>
  <si>
    <t>34.3</t>
  </si>
  <si>
    <t>IL-004b-05C-T06</t>
  </si>
  <si>
    <t>2000</t>
  </si>
  <si>
    <t>0.631</t>
  </si>
  <si>
    <t>0.558</t>
  </si>
  <si>
    <t>36.7</t>
  </si>
  <si>
    <t>IL-004b-05C-T07</t>
  </si>
  <si>
    <t>3600</t>
  </si>
  <si>
    <t>0.693</t>
  </si>
  <si>
    <t>0.581</t>
  </si>
  <si>
    <t>38.6</t>
  </si>
  <si>
    <t>IL-004b-05C-T08</t>
  </si>
  <si>
    <t>5000</t>
  </si>
  <si>
    <t>0.719</t>
  </si>
  <si>
    <t>0.59</t>
  </si>
  <si>
    <t>39.4</t>
  </si>
  <si>
    <t>IL-004b-05C-T09</t>
  </si>
  <si>
    <t>7200</t>
  </si>
  <si>
    <t>0.737</t>
  </si>
  <si>
    <t>0.596</t>
  </si>
  <si>
    <t>39.8</t>
  </si>
  <si>
    <t>IL-004b-10C-T01</t>
  </si>
  <si>
    <t>Dwell sweep (1.0 g/L)</t>
  </si>
  <si>
    <t>0.408</t>
  </si>
  <si>
    <t>0.29</t>
  </si>
  <si>
    <t>IL-004b-10C-T02</t>
  </si>
  <si>
    <t>0.425</t>
  </si>
  <si>
    <t>0.298</t>
  </si>
  <si>
    <t>IL-004b-10C-T03</t>
  </si>
  <si>
    <t>0.469</t>
  </si>
  <si>
    <t>0.319</t>
  </si>
  <si>
    <t>IL-004b-10C-T04</t>
  </si>
  <si>
    <t>0.526</t>
  </si>
  <si>
    <t>0.345</t>
  </si>
  <si>
    <t>IL-004b-10C-T05</t>
  </si>
  <si>
    <t>0.585</t>
  </si>
  <si>
    <t>0.369</t>
  </si>
  <si>
    <t>IL-004b-10C-T06</t>
  </si>
  <si>
    <t>0.678</t>
  </si>
  <si>
    <t>0.404</t>
  </si>
  <si>
    <t>IL-004b-10C-T07</t>
  </si>
  <si>
    <t>0.741</t>
  </si>
  <si>
    <t>0.426</t>
  </si>
  <si>
    <t>IL-004b-10C-T08</t>
  </si>
  <si>
    <t>0.76</t>
  </si>
  <si>
    <t>0.432</t>
  </si>
  <si>
    <t>IL-004b-10C-T09</t>
  </si>
  <si>
    <t>0.769</t>
  </si>
  <si>
    <t>0.435</t>
  </si>
  <si>
    <t>IL-004b-15C-T01</t>
  </si>
  <si>
    <t>Dwell sweep (1.5 g/L)</t>
  </si>
  <si>
    <t>0.718</t>
  </si>
  <si>
    <t>0.374</t>
  </si>
  <si>
    <t>IL-004b-15C-T02</t>
  </si>
  <si>
    <t>0.735</t>
  </si>
  <si>
    <t>0.38</t>
  </si>
  <si>
    <t>IL-004b-15C-T03</t>
  </si>
  <si>
    <t>0.391</t>
  </si>
  <si>
    <t>IL-004b-15C-T04</t>
  </si>
  <si>
    <t>0.792</t>
  </si>
  <si>
    <t>0.398</t>
  </si>
  <si>
    <t>IL-004b-15C-T05</t>
  </si>
  <si>
    <t>0.802</t>
  </si>
  <si>
    <t>0.401</t>
  </si>
  <si>
    <t>IL-004b-15C-T06</t>
  </si>
  <si>
    <t>0.806</t>
  </si>
  <si>
    <t>0.402</t>
  </si>
  <si>
    <t>IL-004b-15C-T07</t>
  </si>
  <si>
    <t>IL-004b-15C-T08</t>
  </si>
  <si>
    <t>IL-004b-15C-T09</t>
  </si>
  <si>
    <t>IL-001</t>
  </si>
  <si>
    <t>[Bmim][FAP]</t>
  </si>
  <si>
    <t>Wang et al. (2019) ACS Appl. Nano Mater.</t>
  </si>
  <si>
    <t>COC / silica</t>
  </si>
  <si>
    <t>Single condition</t>
  </si>
  <si>
    <t>FAP</t>
  </si>
  <si>
    <t>CCCCn1ccnc1C</t>
  </si>
  <si>
    <t>F[P-](F)(F)(C(F)(F)F)(C(F)(F)F)C(F)(F)F</t>
  </si>
  <si>
    <t>139.2</t>
  </si>
  <si>
    <t>445.0</t>
  </si>
  <si>
    <t>15</t>
  </si>
  <si>
    <t>2</t>
  </si>
  <si>
    <t>17.8</t>
  </si>
  <si>
    <t>4</t>
  </si>
  <si>
    <t>varies</t>
  </si>
  <si>
    <t>0.80</t>
  </si>
  <si>
    <t>~0</t>
  </si>
  <si>
    <t>—</t>
  </si>
  <si>
    <t>✓ Lertola et al. (2018)</t>
  </si>
  <si>
    <t>22.5</t>
  </si>
  <si>
    <t>~300</t>
  </si>
  <si>
    <t>IL-002</t>
  </si>
  <si>
    <t>FIL</t>
  </si>
  <si>
    <t>Wang et al. (2020) ACS Appl. Nano Mater.</t>
  </si>
  <si>
    <t>CCn1ccnc1CC(F)(F)C(F)(F)C(F)(F)F</t>
  </si>
  <si>
    <t>~350</t>
  </si>
  <si>
    <t>~0.80</t>
  </si>
  <si>
    <t>~0.10</t>
  </si>
  <si>
    <t>~0.70</t>
  </si>
  <si>
    <t>~0.13</t>
  </si>
  <si>
    <t>✓ Wang et al. (2020)</t>
  </si>
  <si>
    <t>~18.5</t>
  </si>
  <si>
    <t>IL-003</t>
  </si>
  <si>
    <t>HFIL</t>
  </si>
  <si>
    <t>Tirado &amp; Li (2025a) Langmuir</t>
  </si>
  <si>
    <t>Cn1ccnc1CC(F)(F)C(F)(F)C(F)(F)F</t>
  </si>
  <si>
    <t>~330</t>
  </si>
  <si>
    <t>5</t>
  </si>
  <si>
    <t>0.764</t>
  </si>
  <si>
    <t>0.239</t>
  </si>
  <si>
    <t>0.525</t>
  </si>
  <si>
    <t>0.313</t>
  </si>
  <si>
    <t>8.5</t>
  </si>
  <si>
    <t>68.7</t>
  </si>
  <si>
    <t>~19</t>
  </si>
  <si>
    <t>✓ see TGA file</t>
  </si>
  <si>
    <t>IL-005</t>
  </si>
  <si>
    <t>di-OH HFILOH</t>
  </si>
  <si>
    <t>Aim 2 (to be synthesized)</t>
  </si>
  <si>
    <t>silica / COC</t>
  </si>
  <si>
    <t>Aim 2 target</t>
  </si>
  <si>
    <t>pending synthesis</t>
  </si>
  <si>
    <t>~400</t>
  </si>
  <si>
    <t>58.9</t>
  </si>
  <si>
    <t>8</t>
  </si>
  <si>
    <t>IL-006</t>
  </si>
  <si>
    <t>PFPE ZDOL (ref)</t>
  </si>
  <si>
    <t>Wang et al. (2022) Droplet</t>
  </si>
  <si>
    <t>COC</t>
  </si>
  <si>
    <t>PFPE</t>
  </si>
  <si>
    <t>~8</t>
  </si>
  <si>
    <t>HOCH2CF2O(CF2CF2O)nCF2CH2OH</t>
  </si>
  <si>
    <t>~2000</t>
  </si>
  <si>
    <t>many</t>
  </si>
  <si>
    <t>~40</t>
  </si>
  <si>
    <t>1.6</t>
  </si>
  <si>
    <t>~0.73</t>
  </si>
  <si>
    <t>~0.87</t>
  </si>
  <si>
    <t>~0.46</t>
  </si>
  <si>
    <t>~24</t>
  </si>
  <si>
    <t>~290</t>
  </si>
  <si>
    <t>IL-007</t>
  </si>
  <si>
    <t>PFPE Ztetraol (ref)</t>
  </si>
  <si>
    <t>(HOCH2CH2OCH2CF2O)n...</t>
  </si>
  <si>
    <t>~60</t>
  </si>
  <si>
    <t>~25</t>
  </si>
  <si>
    <t>IL-008</t>
  </si>
  <si>
    <t>[EMIM][BF4]</t>
  </si>
  <si>
    <t>ILThermo / Cai et al. (2020)</t>
  </si>
  <si>
    <t>Literature (0.5×)</t>
  </si>
  <si>
    <t>Literature single</t>
  </si>
  <si>
    <t>BF4</t>
  </si>
  <si>
    <t>CCn1cc[n+](C)c1</t>
  </si>
  <si>
    <t>F[B-](F)(F)F</t>
  </si>
  <si>
    <t>111.2</t>
  </si>
  <si>
    <t>86.8</t>
  </si>
  <si>
    <t>✓ Cai et al. (2020)</t>
  </si>
  <si>
    <t>52.1</t>
  </si>
  <si>
    <t>37.7</t>
  </si>
  <si>
    <t>IL-009</t>
  </si>
  <si>
    <t>[BMIM][TFSI]</t>
  </si>
  <si>
    <t>Zhou &amp; Qu (2017)</t>
  </si>
  <si>
    <t>TFSI</t>
  </si>
  <si>
    <t>CCCCn1cc[n+](C)c1</t>
  </si>
  <si>
    <t>O=S(=O)([N-]S(=O)(=O)C(F)(F)F)C(F)(F)F</t>
  </si>
  <si>
    <t>280.2</t>
  </si>
  <si>
    <t>✓ Zhou &amp; Qu (2017)</t>
  </si>
  <si>
    <t>33.2</t>
  </si>
  <si>
    <t>~380</t>
  </si>
  <si>
    <t>52.0</t>
  </si>
  <si>
    <t>IL-010</t>
  </si>
  <si>
    <t>[BMIM][PF6]</t>
  </si>
  <si>
    <t>PF6</t>
  </si>
  <si>
    <t>F[P-](F)(F)(F)(F)F</t>
  </si>
  <si>
    <t>144.9</t>
  </si>
  <si>
    <t>44.4</t>
  </si>
  <si>
    <t>~340</t>
  </si>
  <si>
    <t>267.0</t>
  </si>
  <si>
    <t>IL-011</t>
  </si>
  <si>
    <t>[HMIM][NTf2]</t>
  </si>
  <si>
    <t>ILThermo / Zhou &amp; Qu (2017)</t>
  </si>
  <si>
    <t>CCCCCCn1cc[n+](C)c1</t>
  </si>
  <si>
    <t>167.3</t>
  </si>
  <si>
    <t>31.8</t>
  </si>
  <si>
    <t>68.0</t>
  </si>
  <si>
    <t>IL-012</t>
  </si>
  <si>
    <t>[P66614][NTf2]</t>
  </si>
  <si>
    <t>Phosphonium</t>
  </si>
  <si>
    <t>CCCCCCCC[P+](CCCCCCCC)(CCCCCCCC)CCCCCCCC</t>
  </si>
  <si>
    <t>~483</t>
  </si>
  <si>
    <t>24</t>
  </si>
  <si>
    <t>~420</t>
  </si>
  <si>
    <t>IL-013</t>
  </si>
  <si>
    <t>[Pyrr14][NTf2]</t>
  </si>
  <si>
    <t>Pyrrolidinium</t>
  </si>
  <si>
    <t>CCCC[N+]1(C)CCCC1</t>
  </si>
  <si>
    <t>142.2</t>
  </si>
  <si>
    <t>32.0</t>
  </si>
  <si>
    <t>58.0</t>
  </si>
  <si>
    <t>IL-014 – IL-075</t>
  </si>
  <si>
    <t>~62 additional ILs (literature)</t>
  </si>
  <si>
    <t>NIST ILThermo + Cai et al. (2020) + Zhou &amp; Qu (2017)</t>
  </si>
  <si>
    <t>various</t>
  </si>
  <si>
    <t>populate from PubChem</t>
  </si>
  <si>
    <t>via RDKit</t>
  </si>
  <si>
    <t>partial</t>
  </si>
  <si>
    <t>✓ many (ILThermo)</t>
  </si>
  <si>
    <t>Legend, Color Key &amp; Instructions</t>
  </si>
  <si>
    <t>SECTION COLORS</t>
  </si>
  <si>
    <t>IL ID, name, source, quality weight, substrate, measurement type</t>
  </si>
  <si>
    <t>Molecular Structure</t>
  </si>
  <si>
    <t>Cation/anion families, F-chain length, –OH count, SMILES — fill manually</t>
  </si>
  <si>
    <t>RDKit Descriptors</t>
  </si>
  <si>
    <t>MW, F-count, HBD/HBA, TPSA, rotatable bonds, ring count — auto-fill via RDKit script</t>
  </si>
  <si>
    <t>[NEW] Concentration (g/L), dwell time (s), withdrawal speed, UV dose — key for HFILOH kinetics rows</t>
  </si>
  <si>
    <t>Target — Thin Film</t>
  </si>
  <si>
    <t>ML thickness, bonded/mobile thickness, bonded fraction, WCA, HCA</t>
  </si>
  <si>
    <t>Target — Tribology &amp; Thermal</t>
  </si>
  <si>
    <t>CoF, surface tension, TGA onset, viscosity, D_film</t>
  </si>
  <si>
    <t>MEASUREMENT TYPE COLORS (row background)</t>
  </si>
  <si>
    <t>Conc. sweep</t>
  </si>
  <si>
    <t>HFILOH rows varying concentration at fixed dwell=30s (IL-004a-C01 to C09)</t>
  </si>
  <si>
    <t>Dwell sweep</t>
  </si>
  <si>
    <t>HFILOH rows varying dwell time at 3 fixed concentrations (IL-004b-...)</t>
  </si>
  <si>
    <t>All other ILs — one representative measurement condition</t>
  </si>
  <si>
    <t>CELL VALUE COLORS</t>
  </si>
  <si>
    <t>✓ Available</t>
  </si>
  <si>
    <t>Data available — publication cited</t>
  </si>
  <si>
    <t>To be generated in Aim 2</t>
  </si>
  <si>
    <t>Not applicable for this IL/condition</t>
  </si>
  <si>
    <t>pending…</t>
  </si>
  <si>
    <t>Compound/data not yet available — fill after synthesis</t>
  </si>
  <si>
    <t>HOW TO USE</t>
  </si>
  <si>
    <t>HFILOH kinetics rows</t>
  </si>
  <si>
    <t>IL-004a rows = concentration sweep (9 conditions, dwell=30s). IL-004b rows = dwell-time sweep (3 concs × 9 dwell times = 27 rows). All computed from kinetic model hB(t)=y0+A0(1-e^-t/τ) and Landau-Levich mobile layer. Replace with your actual measured values.</t>
  </si>
  <si>
    <t>For every internal IL row, fill Concentration_g_L and Dwell_Time_s. For literature ILs with unknown conditions, leave as '—'. These are ML input features — they must be filled for the model to use your kinetics data.</t>
  </si>
  <si>
    <t>Bonded Fraction</t>
  </si>
  <si>
    <t>Add Aim 1 data</t>
  </si>
  <si>
    <t>When size-exclusion penetration times (τ_KWW) are measured, add columns: Probe_Liquid, Probe_Diameter_A, tau_KWW_s, beta_KWW, theta_eq_deg. Add one row per probe liquid per film condition.</t>
  </si>
  <si>
    <t>ML training split</t>
  </si>
  <si>
    <t>EXCLUDE IL-005 (di-OH HFILOH, Aim 2) from training — it is the held-out prospective validation target. Set Data_Quality='HELD-OUT' when data is available.</t>
  </si>
  <si>
    <t>Leave blanks</t>
  </si>
  <si>
    <t>Leave cells truly BLANK (not '—') for missing numerical targets — Python/sklearn reads blank as NaN and handles correctly in ML pipelines. Use '—' only for genuinely not-applicable conditions.</t>
  </si>
  <si>
    <t>HFILOH Kinetic Parameters — Table 1 from Dahiru &amp; Li (2025) Langmuir</t>
  </si>
  <si>
    <t>Conc. (g/L)</t>
  </si>
  <si>
    <t>y₀ (nm)</t>
  </si>
  <si>
    <t>A₀ (nm)</t>
  </si>
  <si>
    <t>τ (s)</t>
  </si>
  <si>
    <t>h_B,eq (nm)</t>
  </si>
  <si>
    <t>R²</t>
  </si>
  <si>
    <t>Notes</t>
  </si>
  <si>
    <t>Slowest adsorption; longest τ; mobile ~0.5 nm</t>
  </si>
  <si>
    <t>Best fit (R²=0.984); mobile ~1.0 nm</t>
  </si>
  <si>
    <t>Fastest adsorption; y₀ large (rapid initial bonding); mobile ~1.2 nm</t>
  </si>
  <si>
    <t>Model equation:</t>
  </si>
  <si>
    <t>h_B(t) = y₀ + A₀ × (1 - exp(−t/τ))   where y₀ = instantaneous offset, A₀ = amplitude, τ = characteristic time constant</t>
  </si>
  <si>
    <t>Mobile layer:</t>
  </si>
  <si>
    <t>h_M is dwell-time-independent; scales linearly with concentration (R²=0.99, Landau-Levich): ~0.5 nm @ 0.5 g/L, ~1.0 nm @ 1.0 g/L, ~1.2 nm @ 1.5 g/L</t>
  </si>
  <si>
    <t>WCA trend:</t>
  </si>
  <si>
    <t>WCA increases ~30° → ~40° with dwell time (plateaus ~3600s). HCA stable ~70–75° across all conditions. Bonded-only film: HCA ~60–64°, WCA ~30–35°</t>
  </si>
  <si>
    <t>HFILOH Demo Dataset — Preliminary Aim 3  |  Fill yellow cells from Dahiru &amp; Li (2025) Langmuir  |  Blue cells = auto-filled, do not edit</t>
  </si>
  <si>
    <t>INSTRUCTIONS:  Yellow = fill from your paper (leave BLANK, not zero, if not measured).  Green = experimental conditions.  Blue = molecular features (same for all HFILOH rows).  Bonded Fraction = Bonded / Total — can be left blank and computed in Python.</t>
  </si>
  <si>
    <t>Row ID</t>
  </si>
  <si>
    <t>Experimental conditions  ←  your inputs</t>
  </si>
  <si>
    <t>Molecular features  ←  fixed for HFILOH (auto-filled)</t>
  </si>
  <si>
    <t>Target properties  ←  FILL IN from Figures 1–4</t>
  </si>
  <si>
    <t>Concentration
(g/L)</t>
  </si>
  <si>
    <t>–OH Count
(cation)</t>
  </si>
  <si>
    <t>F Chain
Length</t>
  </si>
  <si>
    <t>F Count
(cation)</t>
  </si>
  <si>
    <t>F Count
(anion)</t>
  </si>
  <si>
    <t>HBD
(cation)</t>
  </si>
  <si>
    <t>HBA
(cation)</t>
  </si>
  <si>
    <t>TPSA
(cation, Å²)</t>
  </si>
  <si>
    <t>Rot. Bonds
(cation)</t>
  </si>
  <si>
    <t>Ring Count
(cation)</t>
  </si>
  <si>
    <t>Bonded
Thickness (nm)</t>
  </si>
  <si>
    <t>Mobile
Thickness (nm)</t>
  </si>
  <si>
    <t>Total
Thickness (nm)</t>
  </si>
  <si>
    <t>Notes / data source</t>
  </si>
  <si>
    <t>HFILOH-DS-001</t>
  </si>
  <si>
    <t>HFILOH-DS-002</t>
  </si>
  <si>
    <t>HFILOH-DS-003</t>
  </si>
  <si>
    <t>HFILOH-DS-004</t>
  </si>
  <si>
    <t>HFILOH-DS-005</t>
  </si>
  <si>
    <t>HFILOH-DS-006</t>
  </si>
  <si>
    <t>HFILOH-DS-007</t>
  </si>
  <si>
    <t>HFILOH-DS-008</t>
  </si>
  <si>
    <t>HFILOH-DS-009</t>
  </si>
  <si>
    <t>HFILOH-DS-013</t>
  </si>
  <si>
    <t>HFILOH-DS-014</t>
  </si>
  <si>
    <t>HFILOH-DS-015</t>
  </si>
  <si>
    <t>HFILOH-DS-016</t>
  </si>
  <si>
    <t>HFILOH-DS-017</t>
  </si>
  <si>
    <t>HFILOH-DS-018</t>
  </si>
  <si>
    <t>HFILOH-DS-024</t>
  </si>
  <si>
    <t>HFILOH-DS-025</t>
  </si>
  <si>
    <t>HFILOH-DS-026</t>
  </si>
  <si>
    <t>HFILOH-DS-027</t>
  </si>
  <si>
    <t>HFILOH-CS-028</t>
  </si>
  <si>
    <t>HFILOH-CS-029</t>
  </si>
  <si>
    <t>HFILOH-CS-030</t>
  </si>
  <si>
    <t>HFILOH-CS-031</t>
  </si>
  <si>
    <t>HFILOH-CS-033</t>
  </si>
  <si>
    <t>LEGEND &amp; PYTHON USAGE</t>
  </si>
  <si>
    <t xml:space="preserve">  Yellow cells (Bonded, Mobile, Total, BF, WCA, HCA):   Fill from Dahiru &amp; Li (2025) Figures 1–4. Leave BLANK if not measured at that condition — Python reads blank as NaN.</t>
  </si>
  <si>
    <t xml:space="preserve">  Green cells (Conc., Dwell Time, Speed):   Experimental conditions — pre-filled from your experimental design.</t>
  </si>
  <si>
    <t xml:space="preserve">  Blue cells (molecular features):   Fixed for HFILOH — same for every row. These become important when you add other ILs.</t>
  </si>
  <si>
    <t xml:space="preserve">  Green row background:   Dwell-time sweep rows: 3 concentrations (0.5, 1.0, 1.5 g/L) × 9 dwell times = 27 rows.</t>
  </si>
  <si>
    <t xml:space="preserve">  Amber row background:   Concentration sweep rows: dwell=30s, varying concentration (Fig. 1). 6 extra rows.</t>
  </si>
  <si>
    <t xml:space="preserve">  Python usage:   df = pd.read_excel("ML_Dataset_Aim3.xlsx", sheet_name="HFILOH_Demo_Data")  →  df_clean = df.dropna(subset=["Bonded_Fraction"])</t>
  </si>
  <si>
    <t>Total
Thickness_SD</t>
  </si>
  <si>
    <t>Bonded
Thickness_SD</t>
  </si>
  <si>
    <t>Mobile
Thickness_SD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</si>
</sst>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0"/>
      <color rgb="FFFFFFFF"/>
      <name val="Calibri"/>
      <family val="2"/>
    </font>
    <font>
      <b/>
      <sz val="8.5"/>
      <color rgb="FF2D3A5E"/>
      <name val="Calibri"/>
      <family val="2"/>
    </font>
    <font>
      <b/>
      <sz val="8.5"/>
      <color rgb="FF0F6E56"/>
      <name val="Calibri"/>
      <family val="2"/>
    </font>
    <font>
      <b/>
      <sz val="8.5"/>
      <color rgb="FF185FA5"/>
      <name val="Calibri"/>
      <family val="2"/>
    </font>
    <font>
      <b/>
      <sz val="8.5"/>
      <color rgb="FF6B3FA0"/>
      <name val="Calibri"/>
      <family val="2"/>
    </font>
    <font>
      <b/>
      <sz val="8.5"/>
      <color rgb="FF7A3B8C"/>
      <name val="Calibri"/>
      <family val="2"/>
    </font>
    <font>
      <b/>
      <sz val="8.5"/>
      <color rgb="FFA04040"/>
      <name val="Calibri"/>
      <family val="2"/>
    </font>
    <font>
      <sz val="9"/>
      <color rgb="FF1A1A1A"/>
      <name val="Calibri"/>
      <family val="2"/>
    </font>
    <font>
      <b/>
      <sz val="9"/>
      <color rgb="FF6B3FA0"/>
      <name val="Calibri"/>
      <family val="2"/>
    </font>
    <font>
      <b/>
      <sz val="9"/>
      <color rgb="FF0F6E56"/>
      <name val="Calibri"/>
      <family val="2"/>
    </font>
    <font>
      <b/>
      <sz val="9"/>
      <color rgb="FF633806"/>
      <name val="Calibri"/>
      <family val="2"/>
    </font>
    <font>
      <sz val="9"/>
      <color rgb="FFAAAAAA"/>
      <name val="Calibri"/>
      <family val="2"/>
    </font>
    <font>
      <i/>
      <sz val="9"/>
      <color rgb="FF6B3FA0"/>
      <name val="Calibri"/>
      <family val="2"/>
    </font>
    <font>
      <i/>
      <sz val="9"/>
      <color rgb="FF555555"/>
      <name val="Calibri"/>
      <family val="2"/>
    </font>
    <font>
      <b/>
      <sz val="10"/>
      <color rgb="FF555555"/>
      <name val="Calibri"/>
      <family val="2"/>
    </font>
    <font>
      <sz val="10"/>
      <color rgb="FF1A1A1A"/>
      <name val="Calibri"/>
      <family val="2"/>
    </font>
    <font>
      <b/>
      <sz val="10"/>
      <color rgb="FF1A1A1A"/>
      <name val="Calibri"/>
      <family val="2"/>
    </font>
    <font>
      <b/>
      <sz val="10"/>
      <color rgb="FF0F6E56"/>
      <name val="Calibri"/>
      <family val="2"/>
    </font>
    <font>
      <b/>
      <sz val="10"/>
      <color rgb="FF633806"/>
      <name val="Calibri"/>
      <family val="2"/>
    </font>
    <font>
      <b/>
      <sz val="10"/>
      <color rgb="FFAAAAAA"/>
      <name val="Calibri"/>
      <family val="2"/>
    </font>
    <font>
      <b/>
      <sz val="10"/>
      <color rgb="FF6B3FA0"/>
      <name val="Calibri"/>
      <family val="2"/>
    </font>
    <font>
      <b/>
      <sz val="10"/>
      <color rgb="FF2D3A5E"/>
      <name val="Calibri"/>
      <family val="2"/>
    </font>
    <font>
      <b/>
      <sz val="12"/>
      <color rgb="FFFFFFFF"/>
      <name val="Calibri"/>
      <family val="2"/>
    </font>
    <font>
      <b/>
      <sz val="10"/>
      <name val="Calibri"/>
      <family val="2"/>
    </font>
    <font>
      <i/>
      <sz val="10"/>
      <color rgb="FF185FA5"/>
      <name val="Calibri"/>
      <family val="2"/>
    </font>
    <font>
      <b/>
      <sz val="11"/>
      <color rgb="FFFFFFFF"/>
      <name val="Calibri"/>
      <family val="2"/>
    </font>
    <font>
      <i/>
      <sz val="9"/>
      <color rgb="FF633806"/>
      <name val="Calibri"/>
      <family val="2"/>
    </font>
    <font>
      <b/>
      <sz val="9"/>
      <color rgb="FFFFFFFF"/>
      <name val="Calibri"/>
      <family val="2"/>
    </font>
    <font>
      <b/>
      <sz val="8.5"/>
      <color rgb="FF555555"/>
      <name val="Calibri"/>
      <family val="2"/>
    </font>
    <font>
      <b/>
      <sz val="9"/>
      <color rgb="FF2D3A5E"/>
      <name val="Calibri"/>
      <family val="2"/>
    </font>
    <font>
      <sz val="9"/>
      <color rgb="FF0F6E56"/>
      <name val="Calibri"/>
      <family val="2"/>
    </font>
    <font>
      <sz val="9"/>
      <color rgb="FF185FA5"/>
      <name val="Calibri"/>
      <family val="2"/>
    </font>
    <font>
      <i/>
      <sz val="8.5"/>
      <color rgb="FF555555"/>
      <name val="Calibri"/>
      <family val="2"/>
    </font>
    <font>
      <sz val="9"/>
      <color rgb="FF633806"/>
      <name val="Calibri"/>
      <family val="2"/>
    </font>
    <font>
      <sz val="9"/>
      <color rgb="FF185FA5"/>
      <name val="Courier New"/>
      <family val="1"/>
    </font>
    <font>
      <sz val="12"/>
      <color rgb="FF000000"/>
      <name val="Aptos Narrow"/>
      <family val="2"/>
    </font>
  </fonts>
  <fills count="25">
    <fill>
      <patternFill patternType="none"/>
    </fill>
    <fill>
      <patternFill patternType="gray125"/>
    </fill>
    <fill>
      <patternFill patternType="solid">
        <fgColor rgb="FF2D3A5E"/>
      </patternFill>
    </fill>
    <fill>
      <patternFill patternType="solid">
        <fgColor rgb="FF0F6E56"/>
      </patternFill>
    </fill>
    <fill>
      <patternFill patternType="solid">
        <fgColor rgb="FF185FA5"/>
      </patternFill>
    </fill>
    <fill>
      <patternFill patternType="solid">
        <fgColor rgb="FF6B3FA0"/>
      </patternFill>
    </fill>
    <fill>
      <patternFill patternType="solid">
        <fgColor rgb="FF7A3B8C"/>
      </patternFill>
    </fill>
    <fill>
      <patternFill patternType="solid">
        <fgColor rgb="FFA04040"/>
      </patternFill>
    </fill>
    <fill>
      <patternFill patternType="solid">
        <fgColor rgb="FFE8ECF7"/>
      </patternFill>
    </fill>
    <fill>
      <patternFill patternType="solid">
        <fgColor rgb="FFD9F0E8"/>
      </patternFill>
    </fill>
    <fill>
      <patternFill patternType="solid">
        <fgColor rgb="FFDBEEFF"/>
      </patternFill>
    </fill>
    <fill>
      <patternFill patternType="solid">
        <fgColor rgb="FFEDE8F7"/>
      </patternFill>
    </fill>
    <fill>
      <patternFill patternType="solid">
        <fgColor rgb="FFF3EAFA"/>
      </patternFill>
    </fill>
    <fill>
      <patternFill patternType="solid">
        <fgColor rgb="FFF7E8E8"/>
      </patternFill>
    </fill>
    <fill>
      <patternFill patternType="solid">
        <fgColor rgb="FFF0FAF2"/>
      </patternFill>
    </fill>
    <fill>
      <patternFill patternType="solid">
        <fgColor rgb="FFFDE8B0"/>
      </patternFill>
    </fill>
    <fill>
      <patternFill patternType="solid">
        <fgColor rgb="FFFFFDF0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F5F5F5"/>
      </patternFill>
    </fill>
    <fill>
      <patternFill patternType="solid">
        <fgColor rgb="FFF5FBF8"/>
      </patternFill>
    </fill>
    <fill>
      <patternFill patternType="solid">
        <fgColor rgb="FF555555"/>
      </patternFill>
    </fill>
    <fill>
      <patternFill patternType="solid">
        <fgColor rgb="FFF1F1F1"/>
      </patternFill>
    </fill>
    <fill>
      <patternFill patternType="solid">
        <fgColor rgb="FFFFFDE7"/>
      </patternFill>
    </fill>
    <fill>
      <patternFill patternType="solid">
        <fgColor rgb="FFFFF8F0"/>
      </patternFill>
    </fill>
  </fills>
  <borders count="36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2D3A5E"/>
      </bottom>
      <diagonal/>
    </border>
    <border>
      <left style="thin">
        <color rgb="FFD0D0D0"/>
      </left>
      <right style="medium">
        <color rgb="FF2D3A5E"/>
      </right>
      <top style="thin">
        <color rgb="FFD0D0D0"/>
      </top>
      <bottom style="medium">
        <color rgb="FF2D3A5E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0F6E56"/>
      </bottom>
      <diagonal/>
    </border>
    <border>
      <left style="thin">
        <color rgb="FFD0D0D0"/>
      </left>
      <right style="medium">
        <color rgb="FF0F6E56"/>
      </right>
      <top style="thin">
        <color rgb="FFD0D0D0"/>
      </top>
      <bottom style="medium">
        <color rgb="FF0F6E56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185FA5"/>
      </bottom>
      <diagonal/>
    </border>
    <border>
      <left style="thin">
        <color rgb="FFD0D0D0"/>
      </left>
      <right style="medium">
        <color rgb="FF185FA5"/>
      </right>
      <top style="thin">
        <color rgb="FFD0D0D0"/>
      </top>
      <bottom style="medium">
        <color rgb="FF185FA5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6B3FA0"/>
      </bottom>
      <diagonal/>
    </border>
    <border>
      <left style="thin">
        <color rgb="FFD0D0D0"/>
      </left>
      <right style="medium">
        <color rgb="FF6B3FA0"/>
      </right>
      <top style="thin">
        <color rgb="FFD0D0D0"/>
      </top>
      <bottom style="medium">
        <color rgb="FF6B3FA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7A3B8C"/>
      </bottom>
      <diagonal/>
    </border>
    <border>
      <left style="thin">
        <color rgb="FFD0D0D0"/>
      </left>
      <right style="medium">
        <color rgb="FF7A3B8C"/>
      </right>
      <top style="thin">
        <color rgb="FFD0D0D0"/>
      </top>
      <bottom style="medium">
        <color rgb="FF7A3B8C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rgb="FFA04040"/>
      </bottom>
      <diagonal/>
    </border>
    <border>
      <left style="thin">
        <color rgb="FFD0D0D0"/>
      </left>
      <right style="medium">
        <color rgb="FFA04040"/>
      </right>
      <top style="thin">
        <color rgb="FFD0D0D0"/>
      </top>
      <bottom style="medium">
        <color rgb="FFA0404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medium">
        <color rgb="FF2D3A5E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medium">
        <color rgb="FF0F6E56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medium">
        <color rgb="FF185FA5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medium">
        <color rgb="FF6B3FA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medium">
        <color rgb="FF7A3B8C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medium">
        <color rgb="FFA0404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medium">
        <color rgb="FF555555"/>
      </right>
      <top style="thin">
        <color rgb="FFD0D0D0"/>
      </top>
      <bottom style="medium">
        <color rgb="FF555555"/>
      </bottom>
      <diagonal/>
    </border>
    <border>
      <left style="thin">
        <color rgb="FFE6A817"/>
      </left>
      <right style="thin">
        <color rgb="FFD0D0D0"/>
      </right>
      <top style="thin">
        <color rgb="FFD0D0D0"/>
      </top>
      <bottom style="thin">
        <color rgb="FFE6A817"/>
      </bottom>
      <diagonal/>
    </border>
    <border>
      <left style="thin">
        <color rgb="FFE6A817"/>
      </left>
      <right style="medium">
        <color rgb="FF6B3FA0"/>
      </right>
      <top style="thin">
        <color rgb="FFD0D0D0"/>
      </top>
      <bottom style="thin">
        <color rgb="FFE6A817"/>
      </bottom>
      <diagonal/>
    </border>
    <border>
      <left style="thin">
        <color rgb="FFD0D0D0"/>
      </left>
      <right style="medium">
        <color rgb="FF555555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medium">
        <color rgb="FF2D3A5E"/>
      </top>
      <bottom style="thin">
        <color rgb="FFD0D0D0"/>
      </bottom>
      <diagonal/>
    </border>
    <border>
      <left style="thin">
        <color rgb="FFD0D0D0"/>
      </left>
      <right style="medium">
        <color rgb="FF0F6E56"/>
      </right>
      <top style="medium">
        <color rgb="FF2D3A5E"/>
      </top>
      <bottom style="thin">
        <color rgb="FFD0D0D0"/>
      </bottom>
      <diagonal/>
    </border>
    <border>
      <left style="thin">
        <color rgb="FFD0D0D0"/>
      </left>
      <right style="medium">
        <color rgb="FF185FA5"/>
      </right>
      <top style="medium">
        <color rgb="FF2D3A5E"/>
      </top>
      <bottom style="thin">
        <color rgb="FFD0D0D0"/>
      </bottom>
      <diagonal/>
    </border>
    <border>
      <left style="thin">
        <color rgb="FFE6A817"/>
      </left>
      <right style="thin">
        <color rgb="FFD0D0D0"/>
      </right>
      <top style="medium">
        <color rgb="FF2D3A5E"/>
      </top>
      <bottom style="thin">
        <color rgb="FFE6A817"/>
      </bottom>
      <diagonal/>
    </border>
    <border>
      <left style="thin">
        <color rgb="FFE6A817"/>
      </left>
      <right style="medium">
        <color rgb="FF6B3FA0"/>
      </right>
      <top style="medium">
        <color rgb="FF2D3A5E"/>
      </top>
      <bottom style="thin">
        <color rgb="FFE6A817"/>
      </bottom>
      <diagonal/>
    </border>
    <border>
      <left style="thin">
        <color rgb="FFD0D0D0"/>
      </left>
      <right style="medium">
        <color rgb="FF555555"/>
      </right>
      <top style="medium">
        <color rgb="FF2D3A5E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/>
      <right/>
      <top style="medium">
        <color rgb="FF2D3A5E"/>
      </top>
      <bottom/>
      <diagonal/>
    </border>
    <border>
      <left style="thin">
        <color rgb="FFD0D0D0"/>
      </left>
      <right/>
      <top style="thin">
        <color rgb="FFD0D0D0"/>
      </top>
      <bottom style="medium">
        <color rgb="FF6B3FA0"/>
      </bottom>
      <diagonal/>
    </border>
    <border>
      <left style="thin">
        <color rgb="FFE6A817"/>
      </left>
      <right/>
      <top style="thin">
        <color rgb="FFD0D0D0"/>
      </top>
      <bottom style="thin">
        <color rgb="FFE6A817"/>
      </bottom>
      <diagonal/>
    </border>
    <border>
      <left style="thin">
        <color rgb="FFE6A817"/>
      </left>
      <right/>
      <top style="medium">
        <color rgb="FF2D3A5E"/>
      </top>
      <bottom style="thin">
        <color rgb="FFE6A817"/>
      </bottom>
      <diagonal/>
    </border>
  </borders>
  <cellStyleXfs count="1">
    <xf numFmtId="0" fontId="0" fillId="0" borderId="0"/>
  </cellStyleXfs>
  <cellXfs count="139">
    <xf numFmtId="0" fontId="0" fillId="0" borderId="0" xfId="0"/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5" fillId="10" borderId="5" xfId="0" applyFont="1" applyFill="1" applyBorder="1" applyAlignment="1">
      <alignment horizontal="center" vertical="center" wrapText="1"/>
    </xf>
    <xf numFmtId="0" fontId="5" fillId="10" borderId="6" xfId="0" applyFont="1" applyFill="1" applyBorder="1" applyAlignment="1">
      <alignment horizontal="center" vertical="center" wrapText="1"/>
    </xf>
    <xf numFmtId="0" fontId="6" fillId="11" borderId="7" xfId="0" applyFont="1" applyFill="1" applyBorder="1" applyAlignment="1">
      <alignment horizontal="center" vertical="center" wrapText="1"/>
    </xf>
    <xf numFmtId="0" fontId="6" fillId="11" borderId="8" xfId="0" applyFont="1" applyFill="1" applyBorder="1" applyAlignment="1">
      <alignment horizontal="center" vertical="center" wrapText="1"/>
    </xf>
    <xf numFmtId="0" fontId="7" fillId="12" borderId="9" xfId="0" applyFont="1" applyFill="1" applyBorder="1" applyAlignment="1">
      <alignment horizontal="center" vertical="center" wrapText="1"/>
    </xf>
    <xf numFmtId="0" fontId="7" fillId="12" borderId="10" xfId="0" applyFont="1" applyFill="1" applyBorder="1" applyAlignment="1">
      <alignment horizontal="center" vertical="center" wrapText="1"/>
    </xf>
    <xf numFmtId="0" fontId="8" fillId="13" borderId="11" xfId="0" applyFont="1" applyFill="1" applyBorder="1" applyAlignment="1">
      <alignment horizontal="center" vertical="center" wrapText="1"/>
    </xf>
    <xf numFmtId="0" fontId="8" fillId="13" borderId="12" xfId="0" applyFont="1" applyFill="1" applyBorder="1" applyAlignment="1">
      <alignment horizontal="center" vertical="center" wrapText="1"/>
    </xf>
    <xf numFmtId="0" fontId="9" fillId="14" borderId="13" xfId="0" applyFont="1" applyFill="1" applyBorder="1" applyAlignment="1">
      <alignment horizontal="center" vertical="center"/>
    </xf>
    <xf numFmtId="0" fontId="9" fillId="14" borderId="13" xfId="0" applyFont="1" applyFill="1" applyBorder="1" applyAlignment="1">
      <alignment horizontal="left" vertical="center"/>
    </xf>
    <xf numFmtId="0" fontId="9" fillId="14" borderId="14" xfId="0" applyFont="1" applyFill="1" applyBorder="1" applyAlignment="1">
      <alignment horizontal="left" vertical="center"/>
    </xf>
    <xf numFmtId="0" fontId="9" fillId="14" borderId="15" xfId="0" applyFont="1" applyFill="1" applyBorder="1" applyAlignment="1">
      <alignment horizontal="left" vertical="center"/>
    </xf>
    <xf numFmtId="0" fontId="9" fillId="14" borderId="16" xfId="0" applyFont="1" applyFill="1" applyBorder="1" applyAlignment="1">
      <alignment horizontal="center" vertical="center"/>
    </xf>
    <xf numFmtId="0" fontId="10" fillId="11" borderId="13" xfId="0" applyFont="1" applyFill="1" applyBorder="1" applyAlignment="1">
      <alignment horizontal="center" vertical="center"/>
    </xf>
    <xf numFmtId="0" fontId="10" fillId="11" borderId="17" xfId="0" applyFont="1" applyFill="1" applyBorder="1" applyAlignment="1">
      <alignment horizontal="center" vertical="center"/>
    </xf>
    <xf numFmtId="0" fontId="9" fillId="14" borderId="18" xfId="0" applyFont="1" applyFill="1" applyBorder="1" applyAlignment="1">
      <alignment horizontal="center" vertical="center"/>
    </xf>
    <xf numFmtId="0" fontId="11" fillId="9" borderId="13" xfId="0" applyFont="1" applyFill="1" applyBorder="1" applyAlignment="1">
      <alignment horizontal="center" vertical="center"/>
    </xf>
    <xf numFmtId="0" fontId="12" fillId="15" borderId="13" xfId="0" applyFont="1" applyFill="1" applyBorder="1" applyAlignment="1">
      <alignment horizontal="center" vertical="center"/>
    </xf>
    <xf numFmtId="0" fontId="12" fillId="15" borderId="19" xfId="0" applyFont="1" applyFill="1" applyBorder="1" applyAlignment="1">
      <alignment horizontal="center" vertical="center"/>
    </xf>
    <xf numFmtId="0" fontId="9" fillId="16" borderId="13" xfId="0" applyFont="1" applyFill="1" applyBorder="1" applyAlignment="1">
      <alignment horizontal="center" vertical="center"/>
    </xf>
    <xf numFmtId="0" fontId="9" fillId="16" borderId="13" xfId="0" applyFont="1" applyFill="1" applyBorder="1" applyAlignment="1">
      <alignment horizontal="left" vertical="center"/>
    </xf>
    <xf numFmtId="0" fontId="9" fillId="16" borderId="14" xfId="0" applyFont="1" applyFill="1" applyBorder="1" applyAlignment="1">
      <alignment horizontal="left" vertical="center"/>
    </xf>
    <xf numFmtId="0" fontId="9" fillId="16" borderId="15" xfId="0" applyFont="1" applyFill="1" applyBorder="1" applyAlignment="1">
      <alignment horizontal="left" vertical="center"/>
    </xf>
    <xf numFmtId="0" fontId="9" fillId="16" borderId="16" xfId="0" applyFont="1" applyFill="1" applyBorder="1" applyAlignment="1">
      <alignment horizontal="center" vertical="center"/>
    </xf>
    <xf numFmtId="0" fontId="9" fillId="16" borderId="18" xfId="0" applyFont="1" applyFill="1" applyBorder="1" applyAlignment="1">
      <alignment horizontal="center" vertical="center"/>
    </xf>
    <xf numFmtId="0" fontId="9" fillId="17" borderId="13" xfId="0" applyFont="1" applyFill="1" applyBorder="1" applyAlignment="1">
      <alignment horizontal="center" vertical="center"/>
    </xf>
    <xf numFmtId="0" fontId="9" fillId="17" borderId="13" xfId="0" applyFont="1" applyFill="1" applyBorder="1" applyAlignment="1">
      <alignment horizontal="left" vertical="center"/>
    </xf>
    <xf numFmtId="0" fontId="9" fillId="17" borderId="14" xfId="0" applyFont="1" applyFill="1" applyBorder="1" applyAlignment="1">
      <alignment horizontal="left" vertical="center"/>
    </xf>
    <xf numFmtId="0" fontId="9" fillId="17" borderId="15" xfId="0" applyFont="1" applyFill="1" applyBorder="1" applyAlignment="1">
      <alignment horizontal="left" vertical="center"/>
    </xf>
    <xf numFmtId="0" fontId="9" fillId="17" borderId="16" xfId="0" applyFont="1" applyFill="1" applyBorder="1" applyAlignment="1">
      <alignment horizontal="center" vertical="center"/>
    </xf>
    <xf numFmtId="0" fontId="13" fillId="17" borderId="13" xfId="0" applyFont="1" applyFill="1" applyBorder="1" applyAlignment="1">
      <alignment horizontal="center" vertical="center"/>
    </xf>
    <xf numFmtId="0" fontId="13" fillId="17" borderId="18" xfId="0" applyFont="1" applyFill="1" applyBorder="1" applyAlignment="1">
      <alignment horizontal="center" vertical="center"/>
    </xf>
    <xf numFmtId="0" fontId="13" fillId="17" borderId="19" xfId="0" applyFont="1" applyFill="1" applyBorder="1" applyAlignment="1">
      <alignment horizontal="center" vertical="center"/>
    </xf>
    <xf numFmtId="0" fontId="9" fillId="18" borderId="13" xfId="0" applyFont="1" applyFill="1" applyBorder="1" applyAlignment="1">
      <alignment horizontal="center" vertical="center"/>
    </xf>
    <xf numFmtId="0" fontId="9" fillId="18" borderId="13" xfId="0" applyFont="1" applyFill="1" applyBorder="1" applyAlignment="1">
      <alignment horizontal="left" vertical="center"/>
    </xf>
    <xf numFmtId="0" fontId="9" fillId="18" borderId="14" xfId="0" applyFont="1" applyFill="1" applyBorder="1" applyAlignment="1">
      <alignment horizontal="left" vertical="center"/>
    </xf>
    <xf numFmtId="0" fontId="9" fillId="18" borderId="15" xfId="0" applyFont="1" applyFill="1" applyBorder="1" applyAlignment="1">
      <alignment horizontal="left" vertical="center"/>
    </xf>
    <xf numFmtId="0" fontId="9" fillId="18" borderId="16" xfId="0" applyFont="1" applyFill="1" applyBorder="1" applyAlignment="1">
      <alignment horizontal="center" vertical="center"/>
    </xf>
    <xf numFmtId="0" fontId="13" fillId="18" borderId="13" xfId="0" applyFont="1" applyFill="1" applyBorder="1" applyAlignment="1">
      <alignment horizontal="center" vertical="center"/>
    </xf>
    <xf numFmtId="0" fontId="13" fillId="18" borderId="18" xfId="0" applyFont="1" applyFill="1" applyBorder="1" applyAlignment="1">
      <alignment horizontal="center" vertical="center"/>
    </xf>
    <xf numFmtId="0" fontId="13" fillId="18" borderId="19" xfId="0" applyFont="1" applyFill="1" applyBorder="1" applyAlignment="1">
      <alignment horizontal="center" vertical="center"/>
    </xf>
    <xf numFmtId="0" fontId="9" fillId="17" borderId="18" xfId="0" applyFont="1" applyFill="1" applyBorder="1" applyAlignment="1">
      <alignment horizontal="center" vertical="center"/>
    </xf>
    <xf numFmtId="0" fontId="12" fillId="15" borderId="13" xfId="0" applyFont="1" applyFill="1" applyBorder="1" applyAlignment="1">
      <alignment horizontal="left" vertical="center"/>
    </xf>
    <xf numFmtId="0" fontId="12" fillId="15" borderId="14" xfId="0" applyFont="1" applyFill="1" applyBorder="1" applyAlignment="1">
      <alignment horizontal="left" vertical="center"/>
    </xf>
    <xf numFmtId="0" fontId="14" fillId="11" borderId="13" xfId="0" applyFont="1" applyFill="1" applyBorder="1" applyAlignment="1">
      <alignment horizontal="left" vertical="center"/>
    </xf>
    <xf numFmtId="0" fontId="12" fillId="15" borderId="17" xfId="0" applyFont="1" applyFill="1" applyBorder="1" applyAlignment="1">
      <alignment horizontal="center" vertical="center"/>
    </xf>
    <xf numFmtId="0" fontId="12" fillId="15" borderId="18" xfId="0" applyFont="1" applyFill="1" applyBorder="1" applyAlignment="1">
      <alignment horizontal="center" vertical="center"/>
    </xf>
    <xf numFmtId="0" fontId="13" fillId="17" borderId="13" xfId="0" applyFont="1" applyFill="1" applyBorder="1" applyAlignment="1">
      <alignment horizontal="left" vertical="center"/>
    </xf>
    <xf numFmtId="0" fontId="13" fillId="17" borderId="15" xfId="0" applyFont="1" applyFill="1" applyBorder="1" applyAlignment="1">
      <alignment horizontal="left" vertical="center"/>
    </xf>
    <xf numFmtId="0" fontId="13" fillId="18" borderId="13" xfId="0" applyFont="1" applyFill="1" applyBorder="1" applyAlignment="1">
      <alignment horizontal="left" vertical="center"/>
    </xf>
    <xf numFmtId="0" fontId="13" fillId="18" borderId="15" xfId="0" applyFont="1" applyFill="1" applyBorder="1" applyAlignment="1">
      <alignment horizontal="left" vertical="center"/>
    </xf>
    <xf numFmtId="0" fontId="13" fillId="17" borderId="17" xfId="0" applyFont="1" applyFill="1" applyBorder="1" applyAlignment="1">
      <alignment horizontal="center" vertical="center"/>
    </xf>
    <xf numFmtId="0" fontId="13" fillId="18" borderId="17" xfId="0" applyFont="1" applyFill="1" applyBorder="1" applyAlignment="1">
      <alignment horizontal="center" vertical="center"/>
    </xf>
    <xf numFmtId="0" fontId="15" fillId="19" borderId="13" xfId="0" applyFont="1" applyFill="1" applyBorder="1" applyAlignment="1">
      <alignment horizontal="center" vertical="center"/>
    </xf>
    <xf numFmtId="0" fontId="15" fillId="19" borderId="13" xfId="0" applyFont="1" applyFill="1" applyBorder="1" applyAlignment="1">
      <alignment horizontal="left" vertical="center"/>
    </xf>
    <xf numFmtId="0" fontId="15" fillId="19" borderId="14" xfId="0" applyFont="1" applyFill="1" applyBorder="1" applyAlignment="1">
      <alignment horizontal="left" vertical="center"/>
    </xf>
    <xf numFmtId="0" fontId="14" fillId="11" borderId="15" xfId="0" applyFont="1" applyFill="1" applyBorder="1" applyAlignment="1">
      <alignment horizontal="left" vertical="center"/>
    </xf>
    <xf numFmtId="0" fontId="14" fillId="11" borderId="13" xfId="0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center" vertical="center"/>
    </xf>
    <xf numFmtId="0" fontId="15" fillId="19" borderId="18" xfId="0" applyFont="1" applyFill="1" applyBorder="1" applyAlignment="1">
      <alignment horizontal="center" vertical="center"/>
    </xf>
    <xf numFmtId="0" fontId="16" fillId="0" borderId="0" xfId="0" applyFont="1"/>
    <xf numFmtId="0" fontId="2" fillId="2" borderId="13" xfId="0" applyFont="1" applyFill="1" applyBorder="1" applyAlignment="1">
      <alignment horizontal="center" vertical="center"/>
    </xf>
    <xf numFmtId="0" fontId="17" fillId="0" borderId="13" xfId="0" applyFont="1" applyBorder="1" applyAlignment="1">
      <alignment horizontal="left" vertical="center" wrapText="1"/>
    </xf>
    <xf numFmtId="0" fontId="2" fillId="3" borderId="13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18" fillId="14" borderId="13" xfId="0" applyFont="1" applyFill="1" applyBorder="1" applyAlignment="1">
      <alignment horizontal="center" vertical="center"/>
    </xf>
    <xf numFmtId="0" fontId="18" fillId="16" borderId="13" xfId="0" applyFont="1" applyFill="1" applyBorder="1" applyAlignment="1">
      <alignment horizontal="center" vertical="center"/>
    </xf>
    <xf numFmtId="0" fontId="18" fillId="17" borderId="13" xfId="0" applyFont="1" applyFill="1" applyBorder="1" applyAlignment="1">
      <alignment horizontal="center" vertical="center"/>
    </xf>
    <xf numFmtId="0" fontId="19" fillId="9" borderId="13" xfId="0" applyFont="1" applyFill="1" applyBorder="1" applyAlignment="1">
      <alignment horizontal="center" vertical="center"/>
    </xf>
    <xf numFmtId="0" fontId="20" fillId="15" borderId="13" xfId="0" applyFont="1" applyFill="1" applyBorder="1" applyAlignment="1">
      <alignment horizontal="center" vertical="center"/>
    </xf>
    <xf numFmtId="0" fontId="21" fillId="19" borderId="13" xfId="0" applyFont="1" applyFill="1" applyBorder="1" applyAlignment="1">
      <alignment horizontal="center" vertical="center"/>
    </xf>
    <xf numFmtId="0" fontId="22" fillId="11" borderId="13" xfId="0" applyFont="1" applyFill="1" applyBorder="1" applyAlignment="1">
      <alignment horizontal="center" vertical="center"/>
    </xf>
    <xf numFmtId="0" fontId="23" fillId="8" borderId="13" xfId="0" applyFont="1" applyFill="1" applyBorder="1" applyAlignment="1">
      <alignment horizontal="center" vertical="center"/>
    </xf>
    <xf numFmtId="0" fontId="19" fillId="9" borderId="3" xfId="0" applyFont="1" applyFill="1" applyBorder="1" applyAlignment="1">
      <alignment horizontal="center" vertical="center"/>
    </xf>
    <xf numFmtId="0" fontId="17" fillId="17" borderId="13" xfId="0" applyFont="1" applyFill="1" applyBorder="1" applyAlignment="1">
      <alignment horizontal="center" vertical="center"/>
    </xf>
    <xf numFmtId="0" fontId="17" fillId="17" borderId="13" xfId="0" applyFont="1" applyFill="1" applyBorder="1" applyAlignment="1">
      <alignment horizontal="left" vertical="center"/>
    </xf>
    <xf numFmtId="0" fontId="18" fillId="20" borderId="13" xfId="0" applyFont="1" applyFill="1" applyBorder="1" applyAlignment="1">
      <alignment horizontal="center" vertical="center"/>
    </xf>
    <xf numFmtId="0" fontId="17" fillId="20" borderId="13" xfId="0" applyFont="1" applyFill="1" applyBorder="1" applyAlignment="1">
      <alignment horizontal="center" vertical="center"/>
    </xf>
    <xf numFmtId="0" fontId="17" fillId="20" borderId="13" xfId="0" applyFont="1" applyFill="1" applyBorder="1" applyAlignment="1">
      <alignment horizontal="left" vertical="center"/>
    </xf>
    <xf numFmtId="0" fontId="25" fillId="0" borderId="0" xfId="0" applyFont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6" fillId="0" borderId="0" xfId="0" applyFont="1"/>
    <xf numFmtId="0" fontId="24" fillId="3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 vertical="center"/>
    </xf>
    <xf numFmtId="0" fontId="28" fillId="15" borderId="0" xfId="0" applyFont="1" applyFill="1" applyAlignment="1">
      <alignment horizontal="left" vertical="center" wrapText="1"/>
    </xf>
    <xf numFmtId="0" fontId="29" fillId="4" borderId="0" xfId="0" applyFont="1" applyFill="1" applyAlignment="1">
      <alignment horizontal="left" vertical="center"/>
    </xf>
    <xf numFmtId="0" fontId="29" fillId="5" borderId="0" xfId="0" applyFont="1" applyFill="1" applyAlignment="1">
      <alignment horizontal="left" vertical="center"/>
    </xf>
    <xf numFmtId="0" fontId="29" fillId="21" borderId="0" xfId="0" applyFont="1" applyFill="1" applyAlignment="1">
      <alignment horizontal="left" vertical="center"/>
    </xf>
    <xf numFmtId="0" fontId="30" fillId="22" borderId="20" xfId="0" applyFont="1" applyFill="1" applyBorder="1" applyAlignment="1">
      <alignment horizontal="center" vertical="center" wrapText="1"/>
    </xf>
    <xf numFmtId="0" fontId="33" fillId="10" borderId="13" xfId="0" applyFont="1" applyFill="1" applyBorder="1" applyAlignment="1">
      <alignment horizontal="center" vertical="center"/>
    </xf>
    <xf numFmtId="0" fontId="33" fillId="10" borderId="16" xfId="0" applyFont="1" applyFill="1" applyBorder="1" applyAlignment="1">
      <alignment horizontal="center" vertical="center"/>
    </xf>
    <xf numFmtId="0" fontId="28" fillId="23" borderId="21" xfId="0" applyFont="1" applyFill="1" applyBorder="1" applyAlignment="1">
      <alignment horizontal="center" vertical="center"/>
    </xf>
    <xf numFmtId="0" fontId="28" fillId="23" borderId="22" xfId="0" applyFont="1" applyFill="1" applyBorder="1" applyAlignment="1">
      <alignment horizontal="center" vertical="center"/>
    </xf>
    <xf numFmtId="0" fontId="34" fillId="22" borderId="23" xfId="0" applyFont="1" applyFill="1" applyBorder="1" applyAlignment="1">
      <alignment horizontal="left" vertical="center"/>
    </xf>
    <xf numFmtId="0" fontId="33" fillId="10" borderId="24" xfId="0" applyFont="1" applyFill="1" applyBorder="1" applyAlignment="1">
      <alignment horizontal="center" vertical="center"/>
    </xf>
    <xf numFmtId="0" fontId="33" fillId="10" borderId="26" xfId="0" applyFont="1" applyFill="1" applyBorder="1" applyAlignment="1">
      <alignment horizontal="center" vertical="center"/>
    </xf>
    <xf numFmtId="0" fontId="28" fillId="23" borderId="27" xfId="0" applyFont="1" applyFill="1" applyBorder="1" applyAlignment="1">
      <alignment horizontal="center" vertical="center"/>
    </xf>
    <xf numFmtId="0" fontId="28" fillId="23" borderId="28" xfId="0" applyFont="1" applyFill="1" applyBorder="1" applyAlignment="1">
      <alignment horizontal="center" vertical="center"/>
    </xf>
    <xf numFmtId="0" fontId="3" fillId="8" borderId="29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2" fillId="23" borderId="0" xfId="0" applyFont="1" applyFill="1" applyAlignment="1">
      <alignment horizontal="left" vertical="center"/>
    </xf>
    <xf numFmtId="0" fontId="32" fillId="9" borderId="0" xfId="0" applyFont="1" applyFill="1" applyAlignment="1">
      <alignment horizontal="left" vertical="center"/>
    </xf>
    <xf numFmtId="0" fontId="33" fillId="10" borderId="0" xfId="0" applyFont="1" applyFill="1" applyAlignment="1">
      <alignment horizontal="left" vertical="center"/>
    </xf>
    <xf numFmtId="0" fontId="32" fillId="14" borderId="0" xfId="0" applyFont="1" applyFill="1" applyAlignment="1">
      <alignment horizontal="left" vertical="center"/>
    </xf>
    <xf numFmtId="0" fontId="35" fillId="24" borderId="0" xfId="0" applyFont="1" applyFill="1" applyAlignment="1">
      <alignment horizontal="left" vertical="center"/>
    </xf>
    <xf numFmtId="0" fontId="36" fillId="10" borderId="0" xfId="0" applyFont="1" applyFill="1" applyAlignment="1">
      <alignment horizontal="left" vertical="center"/>
    </xf>
    <xf numFmtId="0" fontId="6" fillId="11" borderId="33" xfId="0" applyFont="1" applyFill="1" applyBorder="1" applyAlignment="1">
      <alignment horizontal="center" vertical="center" wrapText="1"/>
    </xf>
    <xf numFmtId="0" fontId="28" fillId="23" borderId="34" xfId="0" applyFont="1" applyFill="1" applyBorder="1" applyAlignment="1">
      <alignment horizontal="center" vertical="center"/>
    </xf>
    <xf numFmtId="0" fontId="28" fillId="23" borderId="35" xfId="0" applyFont="1" applyFill="1" applyBorder="1" applyAlignment="1">
      <alignment horizontal="center" vertical="center"/>
    </xf>
    <xf numFmtId="0" fontId="6" fillId="11" borderId="30" xfId="0" applyFont="1" applyFill="1" applyBorder="1" applyAlignment="1">
      <alignment horizontal="center" vertical="center" wrapText="1"/>
    </xf>
    <xf numFmtId="0" fontId="28" fillId="23" borderId="31" xfId="0" applyFont="1" applyFill="1" applyBorder="1" applyAlignment="1">
      <alignment horizontal="center" vertical="center"/>
    </xf>
    <xf numFmtId="0" fontId="28" fillId="23" borderId="32" xfId="0" applyFont="1" applyFill="1" applyBorder="1" applyAlignment="1">
      <alignment horizontal="center" vertical="center"/>
    </xf>
    <xf numFmtId="0" fontId="37" fillId="0" borderId="0" xfId="0" applyFont="1"/>
    <xf numFmtId="0" fontId="0" fillId="0" borderId="0" xfId="0" applyAlignment="1">
      <alignment wrapText="1"/>
    </xf>
    <xf numFmtId="0" fontId="35" fillId="23" borderId="21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left" vertical="center" wrapText="1"/>
    </xf>
    <xf numFmtId="0" fontId="29" fillId="3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0" fontId="31" fillId="8" borderId="13" xfId="0" applyFont="1" applyFill="1" applyBorder="1" applyAlignment="1">
      <alignment horizontal="left" vertical="center" wrapText="1"/>
    </xf>
    <xf numFmtId="0" fontId="11" fillId="9" borderId="13" xfId="0" applyFont="1" applyFill="1" applyBorder="1" applyAlignment="1">
      <alignment horizontal="center" vertical="center" wrapText="1"/>
    </xf>
    <xf numFmtId="0" fontId="32" fillId="9" borderId="15" xfId="0" applyFont="1" applyFill="1" applyBorder="1" applyAlignment="1">
      <alignment horizontal="center" vertical="center" wrapText="1"/>
    </xf>
    <xf numFmtId="0" fontId="31" fillId="8" borderId="24" xfId="0" applyFont="1" applyFill="1" applyBorder="1" applyAlignment="1">
      <alignment horizontal="left" vertical="center" wrapText="1"/>
    </xf>
    <xf numFmtId="0" fontId="11" fillId="9" borderId="24" xfId="0" applyFont="1" applyFill="1" applyBorder="1" applyAlignment="1">
      <alignment horizontal="center" vertical="center" wrapText="1"/>
    </xf>
    <xf numFmtId="0" fontId="32" fillId="9" borderId="2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2"/>
  <sheetViews>
    <sheetView zoomScale="186" workbookViewId="0">
      <pane xSplit="2" ySplit="3" topLeftCell="X4" activePane="bottomRight" state="frozen"/>
      <selection pane="topRight"/>
      <selection pane="bottomLeft"/>
      <selection pane="bottomRight" activeCell="C4" sqref="C4"/>
    </sheetView>
  </sheetViews>
  <sheetFormatPr baseColWidth="10" defaultColWidth="8.83203125" defaultRowHeight="15" x14ac:dyDescent="0.2"/>
  <cols>
    <col min="1" max="1" width="8" customWidth="1"/>
    <col min="2" max="2" width="16" customWidth="1"/>
    <col min="3" max="3" width="22" customWidth="1"/>
    <col min="4" max="4" width="14" customWidth="1"/>
    <col min="5" max="5" width="13" customWidth="1"/>
    <col min="6" max="6" width="16" customWidth="1"/>
    <col min="7" max="7" width="13" customWidth="1"/>
    <col min="8" max="9" width="10" customWidth="1"/>
    <col min="10" max="10" width="9" customWidth="1"/>
    <col min="11" max="12" width="26" customWidth="1"/>
    <col min="13" max="14" width="10" customWidth="1"/>
    <col min="15" max="16" width="9" customWidth="1"/>
    <col min="17" max="18" width="8" customWidth="1"/>
    <col min="19" max="20" width="10" customWidth="1"/>
    <col min="21" max="22" width="9" customWidth="1"/>
    <col min="23" max="23" width="10" customWidth="1"/>
    <col min="24" max="24" width="11" customWidth="1"/>
    <col min="25" max="25" width="9" customWidth="1"/>
    <col min="26" max="29" width="10" customWidth="1"/>
    <col min="30" max="31" width="8" customWidth="1"/>
    <col min="32" max="32" width="18" customWidth="1"/>
    <col min="33" max="33" width="11" customWidth="1"/>
    <col min="34" max="36" width="10" customWidth="1"/>
  </cols>
  <sheetData>
    <row r="1" spans="1:36" ht="26" customHeight="1" x14ac:dyDescent="0.2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</row>
    <row r="2" spans="1:36" ht="20" customHeight="1" x14ac:dyDescent="0.2">
      <c r="A2" s="90" t="s">
        <v>1</v>
      </c>
      <c r="B2" s="89"/>
      <c r="C2" s="89"/>
      <c r="D2" s="89"/>
      <c r="E2" s="89"/>
      <c r="F2" s="89"/>
      <c r="G2" s="92" t="s">
        <v>2</v>
      </c>
      <c r="H2" s="89"/>
      <c r="I2" s="89"/>
      <c r="J2" s="89"/>
      <c r="K2" s="89"/>
      <c r="L2" s="89"/>
      <c r="M2" s="91" t="s">
        <v>3</v>
      </c>
      <c r="N2" s="89"/>
      <c r="O2" s="89"/>
      <c r="P2" s="89"/>
      <c r="Q2" s="89"/>
      <c r="R2" s="89"/>
      <c r="S2" s="89"/>
      <c r="T2" s="89"/>
      <c r="U2" s="89"/>
      <c r="V2" s="93" t="s">
        <v>4</v>
      </c>
      <c r="W2" s="89"/>
      <c r="X2" s="89"/>
      <c r="Y2" s="89"/>
      <c r="Z2" s="95" t="s">
        <v>5</v>
      </c>
      <c r="AA2" s="89"/>
      <c r="AB2" s="89"/>
      <c r="AC2" s="89"/>
      <c r="AD2" s="89"/>
      <c r="AE2" s="89"/>
      <c r="AF2" s="94" t="s">
        <v>6</v>
      </c>
      <c r="AG2" s="89"/>
      <c r="AH2" s="89"/>
      <c r="AI2" s="89"/>
      <c r="AJ2" s="89"/>
    </row>
    <row r="3" spans="1:36" ht="34" customHeight="1" x14ac:dyDescent="0.2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2" t="s">
        <v>12</v>
      </c>
      <c r="G3" s="3" t="s">
        <v>13</v>
      </c>
      <c r="H3" s="3" t="s">
        <v>14</v>
      </c>
      <c r="I3" s="3" t="s">
        <v>15</v>
      </c>
      <c r="J3" s="3" t="s">
        <v>16</v>
      </c>
      <c r="K3" s="3" t="s">
        <v>17</v>
      </c>
      <c r="L3" s="4" t="s">
        <v>18</v>
      </c>
      <c r="M3" s="5" t="s">
        <v>19</v>
      </c>
      <c r="N3" s="5" t="s">
        <v>20</v>
      </c>
      <c r="O3" s="5" t="s">
        <v>21</v>
      </c>
      <c r="P3" s="5" t="s">
        <v>22</v>
      </c>
      <c r="Q3" s="5" t="s">
        <v>23</v>
      </c>
      <c r="R3" s="5" t="s">
        <v>24</v>
      </c>
      <c r="S3" s="5" t="s">
        <v>25</v>
      </c>
      <c r="T3" s="5" t="s">
        <v>26</v>
      </c>
      <c r="U3" s="6" t="s">
        <v>27</v>
      </c>
      <c r="V3" s="7" t="s">
        <v>28</v>
      </c>
      <c r="W3" s="7" t="s">
        <v>29</v>
      </c>
      <c r="X3" s="7" t="s">
        <v>30</v>
      </c>
      <c r="Y3" s="8" t="s">
        <v>31</v>
      </c>
      <c r="Z3" s="9" t="s">
        <v>32</v>
      </c>
      <c r="AA3" s="9" t="s">
        <v>33</v>
      </c>
      <c r="AB3" s="9" t="s">
        <v>34</v>
      </c>
      <c r="AC3" s="9" t="s">
        <v>35</v>
      </c>
      <c r="AD3" s="9" t="s">
        <v>36</v>
      </c>
      <c r="AE3" s="10" t="s">
        <v>37</v>
      </c>
      <c r="AF3" s="11" t="s">
        <v>38</v>
      </c>
      <c r="AG3" s="11" t="s">
        <v>39</v>
      </c>
      <c r="AH3" s="11" t="s">
        <v>40</v>
      </c>
      <c r="AI3" s="11" t="s">
        <v>41</v>
      </c>
      <c r="AJ3" s="12" t="s">
        <v>42</v>
      </c>
    </row>
    <row r="4" spans="1:36" ht="16" customHeight="1" x14ac:dyDescent="0.2">
      <c r="A4" s="13" t="s">
        <v>43</v>
      </c>
      <c r="B4" s="14" t="s">
        <v>44</v>
      </c>
      <c r="C4" s="14" t="s">
        <v>45</v>
      </c>
      <c r="D4" s="14" t="s">
        <v>46</v>
      </c>
      <c r="E4" s="14" t="s">
        <v>47</v>
      </c>
      <c r="F4" s="15" t="s">
        <v>48</v>
      </c>
      <c r="G4" s="14" t="s">
        <v>49</v>
      </c>
      <c r="H4" s="14" t="s">
        <v>50</v>
      </c>
      <c r="I4" s="13" t="s">
        <v>51</v>
      </c>
      <c r="J4" s="13" t="s">
        <v>52</v>
      </c>
      <c r="K4" s="14" t="s">
        <v>53</v>
      </c>
      <c r="L4" s="16" t="s">
        <v>54</v>
      </c>
      <c r="M4" s="13" t="s">
        <v>55</v>
      </c>
      <c r="N4" s="13" t="s">
        <v>56</v>
      </c>
      <c r="O4" s="13" t="s">
        <v>57</v>
      </c>
      <c r="P4" s="13" t="s">
        <v>58</v>
      </c>
      <c r="Q4" s="13" t="s">
        <v>52</v>
      </c>
      <c r="R4" s="13" t="s">
        <v>59</v>
      </c>
      <c r="S4" s="13" t="s">
        <v>60</v>
      </c>
      <c r="T4" s="13" t="s">
        <v>61</v>
      </c>
      <c r="U4" s="17" t="s">
        <v>52</v>
      </c>
      <c r="V4" s="18" t="s">
        <v>62</v>
      </c>
      <c r="W4" s="18" t="s">
        <v>63</v>
      </c>
      <c r="X4" s="18" t="s">
        <v>52</v>
      </c>
      <c r="Y4" s="19" t="s">
        <v>64</v>
      </c>
      <c r="Z4" s="13" t="s">
        <v>65</v>
      </c>
      <c r="AA4" s="13" t="s">
        <v>66</v>
      </c>
      <c r="AB4" s="13" t="s">
        <v>62</v>
      </c>
      <c r="AC4" s="13" t="s">
        <v>67</v>
      </c>
      <c r="AD4" s="13" t="s">
        <v>68</v>
      </c>
      <c r="AE4" s="20" t="s">
        <v>69</v>
      </c>
      <c r="AF4" s="21" t="s">
        <v>70</v>
      </c>
      <c r="AG4" s="13" t="s">
        <v>71</v>
      </c>
      <c r="AH4" s="13" t="s">
        <v>72</v>
      </c>
      <c r="AI4" s="22" t="s">
        <v>73</v>
      </c>
      <c r="AJ4" s="23" t="s">
        <v>73</v>
      </c>
    </row>
    <row r="5" spans="1:36" ht="16" customHeight="1" x14ac:dyDescent="0.2">
      <c r="A5" s="13" t="s">
        <v>74</v>
      </c>
      <c r="B5" s="14" t="s">
        <v>44</v>
      </c>
      <c r="C5" s="14" t="s">
        <v>45</v>
      </c>
      <c r="D5" s="14" t="s">
        <v>46</v>
      </c>
      <c r="E5" s="14" t="s">
        <v>47</v>
      </c>
      <c r="F5" s="15" t="s">
        <v>48</v>
      </c>
      <c r="G5" s="14" t="s">
        <v>49</v>
      </c>
      <c r="H5" s="14" t="s">
        <v>50</v>
      </c>
      <c r="I5" s="13" t="s">
        <v>51</v>
      </c>
      <c r="J5" s="13" t="s">
        <v>52</v>
      </c>
      <c r="K5" s="14" t="s">
        <v>53</v>
      </c>
      <c r="L5" s="16" t="s">
        <v>54</v>
      </c>
      <c r="M5" s="13" t="s">
        <v>55</v>
      </c>
      <c r="N5" s="13" t="s">
        <v>56</v>
      </c>
      <c r="O5" s="13" t="s">
        <v>57</v>
      </c>
      <c r="P5" s="13" t="s">
        <v>58</v>
      </c>
      <c r="Q5" s="13" t="s">
        <v>52</v>
      </c>
      <c r="R5" s="13" t="s">
        <v>59</v>
      </c>
      <c r="S5" s="13" t="s">
        <v>60</v>
      </c>
      <c r="T5" s="13" t="s">
        <v>61</v>
      </c>
      <c r="U5" s="17" t="s">
        <v>52</v>
      </c>
      <c r="V5" s="18" t="s">
        <v>75</v>
      </c>
      <c r="W5" s="18" t="s">
        <v>63</v>
      </c>
      <c r="X5" s="18" t="s">
        <v>52</v>
      </c>
      <c r="Y5" s="19" t="s">
        <v>64</v>
      </c>
      <c r="Z5" s="13" t="s">
        <v>65</v>
      </c>
      <c r="AA5" s="13" t="s">
        <v>76</v>
      </c>
      <c r="AB5" s="13" t="s">
        <v>77</v>
      </c>
      <c r="AC5" s="13" t="s">
        <v>78</v>
      </c>
      <c r="AD5" s="13" t="s">
        <v>68</v>
      </c>
      <c r="AE5" s="20" t="s">
        <v>69</v>
      </c>
      <c r="AF5" s="21" t="s">
        <v>70</v>
      </c>
      <c r="AG5" s="13" t="s">
        <v>71</v>
      </c>
      <c r="AH5" s="13" t="s">
        <v>72</v>
      </c>
      <c r="AI5" s="22" t="s">
        <v>73</v>
      </c>
      <c r="AJ5" s="23" t="s">
        <v>73</v>
      </c>
    </row>
    <row r="6" spans="1:36" ht="16" customHeight="1" x14ac:dyDescent="0.2">
      <c r="A6" s="13" t="s">
        <v>79</v>
      </c>
      <c r="B6" s="14" t="s">
        <v>44</v>
      </c>
      <c r="C6" s="14" t="s">
        <v>45</v>
      </c>
      <c r="D6" s="14" t="s">
        <v>46</v>
      </c>
      <c r="E6" s="14" t="s">
        <v>47</v>
      </c>
      <c r="F6" s="15" t="s">
        <v>48</v>
      </c>
      <c r="G6" s="14" t="s">
        <v>49</v>
      </c>
      <c r="H6" s="14" t="s">
        <v>50</v>
      </c>
      <c r="I6" s="13" t="s">
        <v>51</v>
      </c>
      <c r="J6" s="13" t="s">
        <v>52</v>
      </c>
      <c r="K6" s="14" t="s">
        <v>53</v>
      </c>
      <c r="L6" s="16" t="s">
        <v>54</v>
      </c>
      <c r="M6" s="13" t="s">
        <v>55</v>
      </c>
      <c r="N6" s="13" t="s">
        <v>56</v>
      </c>
      <c r="O6" s="13" t="s">
        <v>57</v>
      </c>
      <c r="P6" s="13" t="s">
        <v>58</v>
      </c>
      <c r="Q6" s="13" t="s">
        <v>52</v>
      </c>
      <c r="R6" s="13" t="s">
        <v>59</v>
      </c>
      <c r="S6" s="13" t="s">
        <v>60</v>
      </c>
      <c r="T6" s="13" t="s">
        <v>61</v>
      </c>
      <c r="U6" s="17" t="s">
        <v>52</v>
      </c>
      <c r="V6" s="18" t="s">
        <v>80</v>
      </c>
      <c r="W6" s="18" t="s">
        <v>63</v>
      </c>
      <c r="X6" s="18" t="s">
        <v>52</v>
      </c>
      <c r="Y6" s="19" t="s">
        <v>64</v>
      </c>
      <c r="Z6" s="13" t="s">
        <v>65</v>
      </c>
      <c r="AA6" s="13" t="s">
        <v>81</v>
      </c>
      <c r="AB6" s="13" t="s">
        <v>80</v>
      </c>
      <c r="AC6" s="13" t="s">
        <v>82</v>
      </c>
      <c r="AD6" s="13" t="s">
        <v>68</v>
      </c>
      <c r="AE6" s="20" t="s">
        <v>69</v>
      </c>
      <c r="AF6" s="21" t="s">
        <v>70</v>
      </c>
      <c r="AG6" s="13" t="s">
        <v>71</v>
      </c>
      <c r="AH6" s="13" t="s">
        <v>72</v>
      </c>
      <c r="AI6" s="22" t="s">
        <v>73</v>
      </c>
      <c r="AJ6" s="23" t="s">
        <v>73</v>
      </c>
    </row>
    <row r="7" spans="1:36" ht="16" customHeight="1" x14ac:dyDescent="0.2">
      <c r="A7" s="13" t="s">
        <v>83</v>
      </c>
      <c r="B7" s="14" t="s">
        <v>44</v>
      </c>
      <c r="C7" s="14" t="s">
        <v>45</v>
      </c>
      <c r="D7" s="14" t="s">
        <v>46</v>
      </c>
      <c r="E7" s="14" t="s">
        <v>47</v>
      </c>
      <c r="F7" s="15" t="s">
        <v>48</v>
      </c>
      <c r="G7" s="14" t="s">
        <v>49</v>
      </c>
      <c r="H7" s="14" t="s">
        <v>50</v>
      </c>
      <c r="I7" s="13" t="s">
        <v>51</v>
      </c>
      <c r="J7" s="13" t="s">
        <v>52</v>
      </c>
      <c r="K7" s="14" t="s">
        <v>53</v>
      </c>
      <c r="L7" s="16" t="s">
        <v>54</v>
      </c>
      <c r="M7" s="13" t="s">
        <v>55</v>
      </c>
      <c r="N7" s="13" t="s">
        <v>56</v>
      </c>
      <c r="O7" s="13" t="s">
        <v>57</v>
      </c>
      <c r="P7" s="13" t="s">
        <v>58</v>
      </c>
      <c r="Q7" s="13" t="s">
        <v>52</v>
      </c>
      <c r="R7" s="13" t="s">
        <v>59</v>
      </c>
      <c r="S7" s="13" t="s">
        <v>60</v>
      </c>
      <c r="T7" s="13" t="s">
        <v>61</v>
      </c>
      <c r="U7" s="17" t="s">
        <v>52</v>
      </c>
      <c r="V7" s="18" t="s">
        <v>65</v>
      </c>
      <c r="W7" s="18" t="s">
        <v>63</v>
      </c>
      <c r="X7" s="18" t="s">
        <v>52</v>
      </c>
      <c r="Y7" s="19" t="s">
        <v>64</v>
      </c>
      <c r="Z7" s="13" t="s">
        <v>65</v>
      </c>
      <c r="AA7" s="13" t="s">
        <v>84</v>
      </c>
      <c r="AB7" s="13" t="s">
        <v>65</v>
      </c>
      <c r="AC7" s="13" t="s">
        <v>85</v>
      </c>
      <c r="AD7" s="13" t="s">
        <v>68</v>
      </c>
      <c r="AE7" s="20" t="s">
        <v>69</v>
      </c>
      <c r="AF7" s="21" t="s">
        <v>70</v>
      </c>
      <c r="AG7" s="13" t="s">
        <v>71</v>
      </c>
      <c r="AH7" s="13" t="s">
        <v>72</v>
      </c>
      <c r="AI7" s="22" t="s">
        <v>73</v>
      </c>
      <c r="AJ7" s="23" t="s">
        <v>73</v>
      </c>
    </row>
    <row r="8" spans="1:36" ht="16" customHeight="1" x14ac:dyDescent="0.2">
      <c r="A8" s="13" t="s">
        <v>86</v>
      </c>
      <c r="B8" s="14" t="s">
        <v>44</v>
      </c>
      <c r="C8" s="14" t="s">
        <v>45</v>
      </c>
      <c r="D8" s="14" t="s">
        <v>46</v>
      </c>
      <c r="E8" s="14" t="s">
        <v>47</v>
      </c>
      <c r="F8" s="15" t="s">
        <v>48</v>
      </c>
      <c r="G8" s="14" t="s">
        <v>49</v>
      </c>
      <c r="H8" s="14" t="s">
        <v>50</v>
      </c>
      <c r="I8" s="13" t="s">
        <v>51</v>
      </c>
      <c r="J8" s="13" t="s">
        <v>52</v>
      </c>
      <c r="K8" s="14" t="s">
        <v>53</v>
      </c>
      <c r="L8" s="16" t="s">
        <v>54</v>
      </c>
      <c r="M8" s="13" t="s">
        <v>55</v>
      </c>
      <c r="N8" s="13" t="s">
        <v>56</v>
      </c>
      <c r="O8" s="13" t="s">
        <v>57</v>
      </c>
      <c r="P8" s="13" t="s">
        <v>58</v>
      </c>
      <c r="Q8" s="13" t="s">
        <v>52</v>
      </c>
      <c r="R8" s="13" t="s">
        <v>59</v>
      </c>
      <c r="S8" s="13" t="s">
        <v>60</v>
      </c>
      <c r="T8" s="13" t="s">
        <v>61</v>
      </c>
      <c r="U8" s="17" t="s">
        <v>52</v>
      </c>
      <c r="V8" s="18" t="s">
        <v>87</v>
      </c>
      <c r="W8" s="18" t="s">
        <v>63</v>
      </c>
      <c r="X8" s="18" t="s">
        <v>52</v>
      </c>
      <c r="Y8" s="19" t="s">
        <v>64</v>
      </c>
      <c r="Z8" s="13" t="s">
        <v>65</v>
      </c>
      <c r="AA8" s="13" t="s">
        <v>88</v>
      </c>
      <c r="AB8" s="13" t="s">
        <v>87</v>
      </c>
      <c r="AC8" s="13" t="s">
        <v>89</v>
      </c>
      <c r="AD8" s="13" t="s">
        <v>68</v>
      </c>
      <c r="AE8" s="20" t="s">
        <v>69</v>
      </c>
      <c r="AF8" s="21" t="s">
        <v>70</v>
      </c>
      <c r="AG8" s="13" t="s">
        <v>71</v>
      </c>
      <c r="AH8" s="13" t="s">
        <v>72</v>
      </c>
      <c r="AI8" s="22" t="s">
        <v>73</v>
      </c>
      <c r="AJ8" s="23" t="s">
        <v>73</v>
      </c>
    </row>
    <row r="9" spans="1:36" ht="16" customHeight="1" x14ac:dyDescent="0.2">
      <c r="A9" s="13" t="s">
        <v>90</v>
      </c>
      <c r="B9" s="14" t="s">
        <v>44</v>
      </c>
      <c r="C9" s="14" t="s">
        <v>45</v>
      </c>
      <c r="D9" s="14" t="s">
        <v>46</v>
      </c>
      <c r="E9" s="14" t="s">
        <v>47</v>
      </c>
      <c r="F9" s="15" t="s">
        <v>48</v>
      </c>
      <c r="G9" s="14" t="s">
        <v>49</v>
      </c>
      <c r="H9" s="14" t="s">
        <v>50</v>
      </c>
      <c r="I9" s="13" t="s">
        <v>51</v>
      </c>
      <c r="J9" s="13" t="s">
        <v>52</v>
      </c>
      <c r="K9" s="14" t="s">
        <v>53</v>
      </c>
      <c r="L9" s="16" t="s">
        <v>54</v>
      </c>
      <c r="M9" s="13" t="s">
        <v>55</v>
      </c>
      <c r="N9" s="13" t="s">
        <v>56</v>
      </c>
      <c r="O9" s="13" t="s">
        <v>57</v>
      </c>
      <c r="P9" s="13" t="s">
        <v>58</v>
      </c>
      <c r="Q9" s="13" t="s">
        <v>52</v>
      </c>
      <c r="R9" s="13" t="s">
        <v>59</v>
      </c>
      <c r="S9" s="13" t="s">
        <v>60</v>
      </c>
      <c r="T9" s="13" t="s">
        <v>61</v>
      </c>
      <c r="U9" s="17" t="s">
        <v>52</v>
      </c>
      <c r="V9" s="18" t="s">
        <v>91</v>
      </c>
      <c r="W9" s="18" t="s">
        <v>63</v>
      </c>
      <c r="X9" s="18" t="s">
        <v>52</v>
      </c>
      <c r="Y9" s="19" t="s">
        <v>64</v>
      </c>
      <c r="Z9" s="13" t="s">
        <v>65</v>
      </c>
      <c r="AA9" s="13" t="s">
        <v>80</v>
      </c>
      <c r="AB9" s="13" t="s">
        <v>92</v>
      </c>
      <c r="AC9" s="13" t="s">
        <v>93</v>
      </c>
      <c r="AD9" s="13" t="s">
        <v>68</v>
      </c>
      <c r="AE9" s="20" t="s">
        <v>69</v>
      </c>
      <c r="AF9" s="21" t="s">
        <v>70</v>
      </c>
      <c r="AG9" s="13" t="s">
        <v>71</v>
      </c>
      <c r="AH9" s="13" t="s">
        <v>72</v>
      </c>
      <c r="AI9" s="22" t="s">
        <v>73</v>
      </c>
      <c r="AJ9" s="23" t="s">
        <v>73</v>
      </c>
    </row>
    <row r="10" spans="1:36" ht="16" customHeight="1" x14ac:dyDescent="0.2">
      <c r="A10" s="13" t="s">
        <v>94</v>
      </c>
      <c r="B10" s="14" t="s">
        <v>44</v>
      </c>
      <c r="C10" s="14" t="s">
        <v>45</v>
      </c>
      <c r="D10" s="14" t="s">
        <v>46</v>
      </c>
      <c r="E10" s="14" t="s">
        <v>47</v>
      </c>
      <c r="F10" s="15" t="s">
        <v>48</v>
      </c>
      <c r="G10" s="14" t="s">
        <v>49</v>
      </c>
      <c r="H10" s="14" t="s">
        <v>50</v>
      </c>
      <c r="I10" s="13" t="s">
        <v>51</v>
      </c>
      <c r="J10" s="13" t="s">
        <v>52</v>
      </c>
      <c r="K10" s="14" t="s">
        <v>53</v>
      </c>
      <c r="L10" s="16" t="s">
        <v>54</v>
      </c>
      <c r="M10" s="13" t="s">
        <v>55</v>
      </c>
      <c r="N10" s="13" t="s">
        <v>56</v>
      </c>
      <c r="O10" s="13" t="s">
        <v>57</v>
      </c>
      <c r="P10" s="13" t="s">
        <v>58</v>
      </c>
      <c r="Q10" s="13" t="s">
        <v>52</v>
      </c>
      <c r="R10" s="13" t="s">
        <v>59</v>
      </c>
      <c r="S10" s="13" t="s">
        <v>60</v>
      </c>
      <c r="T10" s="13" t="s">
        <v>61</v>
      </c>
      <c r="U10" s="17" t="s">
        <v>52</v>
      </c>
      <c r="V10" s="18" t="s">
        <v>95</v>
      </c>
      <c r="W10" s="18" t="s">
        <v>63</v>
      </c>
      <c r="X10" s="18" t="s">
        <v>52</v>
      </c>
      <c r="Y10" s="19" t="s">
        <v>64</v>
      </c>
      <c r="Z10" s="13" t="s">
        <v>65</v>
      </c>
      <c r="AA10" s="13" t="s">
        <v>96</v>
      </c>
      <c r="AB10" s="13" t="s">
        <v>97</v>
      </c>
      <c r="AC10" s="13" t="s">
        <v>98</v>
      </c>
      <c r="AD10" s="13" t="s">
        <v>68</v>
      </c>
      <c r="AE10" s="20" t="s">
        <v>69</v>
      </c>
      <c r="AF10" s="21" t="s">
        <v>70</v>
      </c>
      <c r="AG10" s="13" t="s">
        <v>71</v>
      </c>
      <c r="AH10" s="13" t="s">
        <v>72</v>
      </c>
      <c r="AI10" s="22" t="s">
        <v>73</v>
      </c>
      <c r="AJ10" s="23" t="s">
        <v>73</v>
      </c>
    </row>
    <row r="11" spans="1:36" ht="16" customHeight="1" x14ac:dyDescent="0.2">
      <c r="A11" s="13" t="s">
        <v>99</v>
      </c>
      <c r="B11" s="14" t="s">
        <v>44</v>
      </c>
      <c r="C11" s="14" t="s">
        <v>45</v>
      </c>
      <c r="D11" s="14" t="s">
        <v>46</v>
      </c>
      <c r="E11" s="14" t="s">
        <v>47</v>
      </c>
      <c r="F11" s="15" t="s">
        <v>48</v>
      </c>
      <c r="G11" s="14" t="s">
        <v>49</v>
      </c>
      <c r="H11" s="14" t="s">
        <v>50</v>
      </c>
      <c r="I11" s="13" t="s">
        <v>51</v>
      </c>
      <c r="J11" s="13" t="s">
        <v>52</v>
      </c>
      <c r="K11" s="14" t="s">
        <v>53</v>
      </c>
      <c r="L11" s="16" t="s">
        <v>54</v>
      </c>
      <c r="M11" s="13" t="s">
        <v>55</v>
      </c>
      <c r="N11" s="13" t="s">
        <v>56</v>
      </c>
      <c r="O11" s="13" t="s">
        <v>57</v>
      </c>
      <c r="P11" s="13" t="s">
        <v>58</v>
      </c>
      <c r="Q11" s="13" t="s">
        <v>52</v>
      </c>
      <c r="R11" s="13" t="s">
        <v>59</v>
      </c>
      <c r="S11" s="13" t="s">
        <v>60</v>
      </c>
      <c r="T11" s="13" t="s">
        <v>61</v>
      </c>
      <c r="U11" s="17" t="s">
        <v>52</v>
      </c>
      <c r="V11" s="18" t="s">
        <v>100</v>
      </c>
      <c r="W11" s="18" t="s">
        <v>63</v>
      </c>
      <c r="X11" s="18" t="s">
        <v>52</v>
      </c>
      <c r="Y11" s="19" t="s">
        <v>64</v>
      </c>
      <c r="Z11" s="13" t="s">
        <v>65</v>
      </c>
      <c r="AA11" s="13" t="s">
        <v>101</v>
      </c>
      <c r="AB11" s="13" t="s">
        <v>102</v>
      </c>
      <c r="AC11" s="13" t="s">
        <v>103</v>
      </c>
      <c r="AD11" s="13" t="s">
        <v>68</v>
      </c>
      <c r="AE11" s="20" t="s">
        <v>69</v>
      </c>
      <c r="AF11" s="21" t="s">
        <v>70</v>
      </c>
      <c r="AG11" s="13" t="s">
        <v>71</v>
      </c>
      <c r="AH11" s="13" t="s">
        <v>72</v>
      </c>
      <c r="AI11" s="22" t="s">
        <v>73</v>
      </c>
      <c r="AJ11" s="23" t="s">
        <v>73</v>
      </c>
    </row>
    <row r="12" spans="1:36" ht="16" customHeight="1" x14ac:dyDescent="0.2">
      <c r="A12" s="13" t="s">
        <v>104</v>
      </c>
      <c r="B12" s="14" t="s">
        <v>44</v>
      </c>
      <c r="C12" s="14" t="s">
        <v>45</v>
      </c>
      <c r="D12" s="14" t="s">
        <v>46</v>
      </c>
      <c r="E12" s="14" t="s">
        <v>47</v>
      </c>
      <c r="F12" s="15" t="s">
        <v>48</v>
      </c>
      <c r="G12" s="14" t="s">
        <v>49</v>
      </c>
      <c r="H12" s="14" t="s">
        <v>50</v>
      </c>
      <c r="I12" s="13" t="s">
        <v>51</v>
      </c>
      <c r="J12" s="13" t="s">
        <v>52</v>
      </c>
      <c r="K12" s="14" t="s">
        <v>53</v>
      </c>
      <c r="L12" s="16" t="s">
        <v>54</v>
      </c>
      <c r="M12" s="13" t="s">
        <v>55</v>
      </c>
      <c r="N12" s="13" t="s">
        <v>56</v>
      </c>
      <c r="O12" s="13" t="s">
        <v>57</v>
      </c>
      <c r="P12" s="13" t="s">
        <v>58</v>
      </c>
      <c r="Q12" s="13" t="s">
        <v>52</v>
      </c>
      <c r="R12" s="13" t="s">
        <v>59</v>
      </c>
      <c r="S12" s="13" t="s">
        <v>60</v>
      </c>
      <c r="T12" s="13" t="s">
        <v>61</v>
      </c>
      <c r="U12" s="17" t="s">
        <v>52</v>
      </c>
      <c r="V12" s="18" t="s">
        <v>105</v>
      </c>
      <c r="W12" s="18" t="s">
        <v>63</v>
      </c>
      <c r="X12" s="18" t="s">
        <v>52</v>
      </c>
      <c r="Y12" s="19" t="s">
        <v>64</v>
      </c>
      <c r="Z12" s="13" t="s">
        <v>65</v>
      </c>
      <c r="AA12" s="13" t="s">
        <v>65</v>
      </c>
      <c r="AB12" s="13" t="s">
        <v>95</v>
      </c>
      <c r="AC12" s="13" t="s">
        <v>106</v>
      </c>
      <c r="AD12" s="13" t="s">
        <v>68</v>
      </c>
      <c r="AE12" s="20" t="s">
        <v>69</v>
      </c>
      <c r="AF12" s="21" t="s">
        <v>70</v>
      </c>
      <c r="AG12" s="13" t="s">
        <v>71</v>
      </c>
      <c r="AH12" s="13" t="s">
        <v>72</v>
      </c>
      <c r="AI12" s="22" t="s">
        <v>73</v>
      </c>
      <c r="AJ12" s="23" t="s">
        <v>73</v>
      </c>
    </row>
    <row r="13" spans="1:36" ht="16" customHeight="1" x14ac:dyDescent="0.2">
      <c r="A13" s="24" t="s">
        <v>107</v>
      </c>
      <c r="B13" s="25" t="s">
        <v>44</v>
      </c>
      <c r="C13" s="25" t="s">
        <v>45</v>
      </c>
      <c r="D13" s="25" t="s">
        <v>46</v>
      </c>
      <c r="E13" s="25" t="s">
        <v>47</v>
      </c>
      <c r="F13" s="26" t="s">
        <v>108</v>
      </c>
      <c r="G13" s="25" t="s">
        <v>49</v>
      </c>
      <c r="H13" s="25" t="s">
        <v>50</v>
      </c>
      <c r="I13" s="24" t="s">
        <v>51</v>
      </c>
      <c r="J13" s="24" t="s">
        <v>52</v>
      </c>
      <c r="K13" s="25" t="s">
        <v>53</v>
      </c>
      <c r="L13" s="27" t="s">
        <v>54</v>
      </c>
      <c r="M13" s="24" t="s">
        <v>55</v>
      </c>
      <c r="N13" s="24" t="s">
        <v>56</v>
      </c>
      <c r="O13" s="24" t="s">
        <v>57</v>
      </c>
      <c r="P13" s="24" t="s">
        <v>58</v>
      </c>
      <c r="Q13" s="24" t="s">
        <v>52</v>
      </c>
      <c r="R13" s="24" t="s">
        <v>59</v>
      </c>
      <c r="S13" s="24" t="s">
        <v>60</v>
      </c>
      <c r="T13" s="24" t="s">
        <v>61</v>
      </c>
      <c r="U13" s="28" t="s">
        <v>52</v>
      </c>
      <c r="V13" s="18" t="s">
        <v>80</v>
      </c>
      <c r="W13" s="18" t="s">
        <v>63</v>
      </c>
      <c r="X13" s="18" t="s">
        <v>52</v>
      </c>
      <c r="Y13" s="19" t="s">
        <v>64</v>
      </c>
      <c r="Z13" s="24" t="s">
        <v>65</v>
      </c>
      <c r="AA13" s="24" t="s">
        <v>109</v>
      </c>
      <c r="AB13" s="24" t="s">
        <v>80</v>
      </c>
      <c r="AC13" s="24" t="s">
        <v>110</v>
      </c>
      <c r="AD13" s="24" t="s">
        <v>111</v>
      </c>
      <c r="AE13" s="29" t="s">
        <v>112</v>
      </c>
      <c r="AF13" s="21" t="s">
        <v>70</v>
      </c>
      <c r="AG13" s="24" t="s">
        <v>71</v>
      </c>
      <c r="AH13" s="24" t="s">
        <v>72</v>
      </c>
      <c r="AI13" s="22" t="s">
        <v>73</v>
      </c>
      <c r="AJ13" s="23" t="s">
        <v>73</v>
      </c>
    </row>
    <row r="14" spans="1:36" ht="16" customHeight="1" x14ac:dyDescent="0.2">
      <c r="A14" s="24" t="s">
        <v>113</v>
      </c>
      <c r="B14" s="25" t="s">
        <v>44</v>
      </c>
      <c r="C14" s="25" t="s">
        <v>45</v>
      </c>
      <c r="D14" s="25" t="s">
        <v>46</v>
      </c>
      <c r="E14" s="25" t="s">
        <v>47</v>
      </c>
      <c r="F14" s="26" t="s">
        <v>108</v>
      </c>
      <c r="G14" s="25" t="s">
        <v>49</v>
      </c>
      <c r="H14" s="25" t="s">
        <v>50</v>
      </c>
      <c r="I14" s="24" t="s">
        <v>51</v>
      </c>
      <c r="J14" s="24" t="s">
        <v>52</v>
      </c>
      <c r="K14" s="25" t="s">
        <v>53</v>
      </c>
      <c r="L14" s="27" t="s">
        <v>54</v>
      </c>
      <c r="M14" s="24" t="s">
        <v>55</v>
      </c>
      <c r="N14" s="24" t="s">
        <v>56</v>
      </c>
      <c r="O14" s="24" t="s">
        <v>57</v>
      </c>
      <c r="P14" s="24" t="s">
        <v>58</v>
      </c>
      <c r="Q14" s="24" t="s">
        <v>52</v>
      </c>
      <c r="R14" s="24" t="s">
        <v>59</v>
      </c>
      <c r="S14" s="24" t="s">
        <v>60</v>
      </c>
      <c r="T14" s="24" t="s">
        <v>61</v>
      </c>
      <c r="U14" s="28" t="s">
        <v>52</v>
      </c>
      <c r="V14" s="18" t="s">
        <v>80</v>
      </c>
      <c r="W14" s="18" t="s">
        <v>114</v>
      </c>
      <c r="X14" s="18" t="s">
        <v>52</v>
      </c>
      <c r="Y14" s="19" t="s">
        <v>64</v>
      </c>
      <c r="Z14" s="24" t="s">
        <v>65</v>
      </c>
      <c r="AA14" s="24" t="s">
        <v>115</v>
      </c>
      <c r="AB14" s="24" t="s">
        <v>80</v>
      </c>
      <c r="AC14" s="24" t="s">
        <v>116</v>
      </c>
      <c r="AD14" s="24" t="s">
        <v>117</v>
      </c>
      <c r="AE14" s="29" t="s">
        <v>112</v>
      </c>
      <c r="AF14" s="21" t="s">
        <v>70</v>
      </c>
      <c r="AG14" s="24" t="s">
        <v>71</v>
      </c>
      <c r="AH14" s="24" t="s">
        <v>72</v>
      </c>
      <c r="AI14" s="22" t="s">
        <v>73</v>
      </c>
      <c r="AJ14" s="23" t="s">
        <v>73</v>
      </c>
    </row>
    <row r="15" spans="1:36" ht="16" customHeight="1" x14ac:dyDescent="0.2">
      <c r="A15" s="24" t="s">
        <v>118</v>
      </c>
      <c r="B15" s="25" t="s">
        <v>44</v>
      </c>
      <c r="C15" s="25" t="s">
        <v>45</v>
      </c>
      <c r="D15" s="25" t="s">
        <v>46</v>
      </c>
      <c r="E15" s="25" t="s">
        <v>47</v>
      </c>
      <c r="F15" s="26" t="s">
        <v>108</v>
      </c>
      <c r="G15" s="25" t="s">
        <v>49</v>
      </c>
      <c r="H15" s="25" t="s">
        <v>50</v>
      </c>
      <c r="I15" s="24" t="s">
        <v>51</v>
      </c>
      <c r="J15" s="24" t="s">
        <v>52</v>
      </c>
      <c r="K15" s="25" t="s">
        <v>53</v>
      </c>
      <c r="L15" s="27" t="s">
        <v>54</v>
      </c>
      <c r="M15" s="24" t="s">
        <v>55</v>
      </c>
      <c r="N15" s="24" t="s">
        <v>56</v>
      </c>
      <c r="O15" s="24" t="s">
        <v>57</v>
      </c>
      <c r="P15" s="24" t="s">
        <v>58</v>
      </c>
      <c r="Q15" s="24" t="s">
        <v>52</v>
      </c>
      <c r="R15" s="24" t="s">
        <v>59</v>
      </c>
      <c r="S15" s="24" t="s">
        <v>60</v>
      </c>
      <c r="T15" s="24" t="s">
        <v>61</v>
      </c>
      <c r="U15" s="28" t="s">
        <v>52</v>
      </c>
      <c r="V15" s="18" t="s">
        <v>80</v>
      </c>
      <c r="W15" s="18" t="s">
        <v>119</v>
      </c>
      <c r="X15" s="18" t="s">
        <v>52</v>
      </c>
      <c r="Y15" s="19" t="s">
        <v>64</v>
      </c>
      <c r="Z15" s="24" t="s">
        <v>65</v>
      </c>
      <c r="AA15" s="24" t="s">
        <v>120</v>
      </c>
      <c r="AB15" s="24" t="s">
        <v>80</v>
      </c>
      <c r="AC15" s="24" t="s">
        <v>121</v>
      </c>
      <c r="AD15" s="24" t="s">
        <v>122</v>
      </c>
      <c r="AE15" s="29" t="s">
        <v>112</v>
      </c>
      <c r="AF15" s="21" t="s">
        <v>70</v>
      </c>
      <c r="AG15" s="24" t="s">
        <v>71</v>
      </c>
      <c r="AH15" s="24" t="s">
        <v>72</v>
      </c>
      <c r="AI15" s="22" t="s">
        <v>73</v>
      </c>
      <c r="AJ15" s="23" t="s">
        <v>73</v>
      </c>
    </row>
    <row r="16" spans="1:36" ht="16" customHeight="1" x14ac:dyDescent="0.2">
      <c r="A16" s="24" t="s">
        <v>123</v>
      </c>
      <c r="B16" s="25" t="s">
        <v>44</v>
      </c>
      <c r="C16" s="25" t="s">
        <v>45</v>
      </c>
      <c r="D16" s="25" t="s">
        <v>46</v>
      </c>
      <c r="E16" s="25" t="s">
        <v>47</v>
      </c>
      <c r="F16" s="26" t="s">
        <v>108</v>
      </c>
      <c r="G16" s="25" t="s">
        <v>49</v>
      </c>
      <c r="H16" s="25" t="s">
        <v>50</v>
      </c>
      <c r="I16" s="24" t="s">
        <v>51</v>
      </c>
      <c r="J16" s="24" t="s">
        <v>52</v>
      </c>
      <c r="K16" s="25" t="s">
        <v>53</v>
      </c>
      <c r="L16" s="27" t="s">
        <v>54</v>
      </c>
      <c r="M16" s="24" t="s">
        <v>55</v>
      </c>
      <c r="N16" s="24" t="s">
        <v>56</v>
      </c>
      <c r="O16" s="24" t="s">
        <v>57</v>
      </c>
      <c r="P16" s="24" t="s">
        <v>58</v>
      </c>
      <c r="Q16" s="24" t="s">
        <v>52</v>
      </c>
      <c r="R16" s="24" t="s">
        <v>59</v>
      </c>
      <c r="S16" s="24" t="s">
        <v>60</v>
      </c>
      <c r="T16" s="24" t="s">
        <v>61</v>
      </c>
      <c r="U16" s="28" t="s">
        <v>52</v>
      </c>
      <c r="V16" s="18" t="s">
        <v>80</v>
      </c>
      <c r="W16" s="18" t="s">
        <v>124</v>
      </c>
      <c r="X16" s="18" t="s">
        <v>52</v>
      </c>
      <c r="Y16" s="19" t="s">
        <v>64</v>
      </c>
      <c r="Z16" s="24" t="s">
        <v>65</v>
      </c>
      <c r="AA16" s="24" t="s">
        <v>125</v>
      </c>
      <c r="AB16" s="24" t="s">
        <v>80</v>
      </c>
      <c r="AC16" s="24" t="s">
        <v>126</v>
      </c>
      <c r="AD16" s="24" t="s">
        <v>127</v>
      </c>
      <c r="AE16" s="29" t="s">
        <v>112</v>
      </c>
      <c r="AF16" s="21" t="s">
        <v>70</v>
      </c>
      <c r="AG16" s="24" t="s">
        <v>71</v>
      </c>
      <c r="AH16" s="24" t="s">
        <v>72</v>
      </c>
      <c r="AI16" s="22" t="s">
        <v>73</v>
      </c>
      <c r="AJ16" s="23" t="s">
        <v>73</v>
      </c>
    </row>
    <row r="17" spans="1:36" ht="16" customHeight="1" x14ac:dyDescent="0.2">
      <c r="A17" s="24" t="s">
        <v>128</v>
      </c>
      <c r="B17" s="25" t="s">
        <v>44</v>
      </c>
      <c r="C17" s="25" t="s">
        <v>45</v>
      </c>
      <c r="D17" s="25" t="s">
        <v>46</v>
      </c>
      <c r="E17" s="25" t="s">
        <v>47</v>
      </c>
      <c r="F17" s="26" t="s">
        <v>108</v>
      </c>
      <c r="G17" s="25" t="s">
        <v>49</v>
      </c>
      <c r="H17" s="25" t="s">
        <v>50</v>
      </c>
      <c r="I17" s="24" t="s">
        <v>51</v>
      </c>
      <c r="J17" s="24" t="s">
        <v>52</v>
      </c>
      <c r="K17" s="25" t="s">
        <v>53</v>
      </c>
      <c r="L17" s="27" t="s">
        <v>54</v>
      </c>
      <c r="M17" s="24" t="s">
        <v>55</v>
      </c>
      <c r="N17" s="24" t="s">
        <v>56</v>
      </c>
      <c r="O17" s="24" t="s">
        <v>57</v>
      </c>
      <c r="P17" s="24" t="s">
        <v>58</v>
      </c>
      <c r="Q17" s="24" t="s">
        <v>52</v>
      </c>
      <c r="R17" s="24" t="s">
        <v>59</v>
      </c>
      <c r="S17" s="24" t="s">
        <v>60</v>
      </c>
      <c r="T17" s="24" t="s">
        <v>61</v>
      </c>
      <c r="U17" s="28" t="s">
        <v>52</v>
      </c>
      <c r="V17" s="18" t="s">
        <v>80</v>
      </c>
      <c r="W17" s="18" t="s">
        <v>129</v>
      </c>
      <c r="X17" s="18" t="s">
        <v>52</v>
      </c>
      <c r="Y17" s="19" t="s">
        <v>64</v>
      </c>
      <c r="Z17" s="24" t="s">
        <v>65</v>
      </c>
      <c r="AA17" s="24" t="s">
        <v>130</v>
      </c>
      <c r="AB17" s="24" t="s">
        <v>80</v>
      </c>
      <c r="AC17" s="24" t="s">
        <v>131</v>
      </c>
      <c r="AD17" s="24" t="s">
        <v>132</v>
      </c>
      <c r="AE17" s="29" t="s">
        <v>112</v>
      </c>
      <c r="AF17" s="21" t="s">
        <v>70</v>
      </c>
      <c r="AG17" s="24" t="s">
        <v>71</v>
      </c>
      <c r="AH17" s="24" t="s">
        <v>72</v>
      </c>
      <c r="AI17" s="22" t="s">
        <v>73</v>
      </c>
      <c r="AJ17" s="23" t="s">
        <v>73</v>
      </c>
    </row>
    <row r="18" spans="1:36" ht="16" customHeight="1" x14ac:dyDescent="0.2">
      <c r="A18" s="24" t="s">
        <v>133</v>
      </c>
      <c r="B18" s="25" t="s">
        <v>44</v>
      </c>
      <c r="C18" s="25" t="s">
        <v>45</v>
      </c>
      <c r="D18" s="25" t="s">
        <v>46</v>
      </c>
      <c r="E18" s="25" t="s">
        <v>47</v>
      </c>
      <c r="F18" s="26" t="s">
        <v>108</v>
      </c>
      <c r="G18" s="25" t="s">
        <v>49</v>
      </c>
      <c r="H18" s="25" t="s">
        <v>50</v>
      </c>
      <c r="I18" s="24" t="s">
        <v>51</v>
      </c>
      <c r="J18" s="24" t="s">
        <v>52</v>
      </c>
      <c r="K18" s="25" t="s">
        <v>53</v>
      </c>
      <c r="L18" s="27" t="s">
        <v>54</v>
      </c>
      <c r="M18" s="24" t="s">
        <v>55</v>
      </c>
      <c r="N18" s="24" t="s">
        <v>56</v>
      </c>
      <c r="O18" s="24" t="s">
        <v>57</v>
      </c>
      <c r="P18" s="24" t="s">
        <v>58</v>
      </c>
      <c r="Q18" s="24" t="s">
        <v>52</v>
      </c>
      <c r="R18" s="24" t="s">
        <v>59</v>
      </c>
      <c r="S18" s="24" t="s">
        <v>60</v>
      </c>
      <c r="T18" s="24" t="s">
        <v>61</v>
      </c>
      <c r="U18" s="28" t="s">
        <v>52</v>
      </c>
      <c r="V18" s="18" t="s">
        <v>80</v>
      </c>
      <c r="W18" s="18" t="s">
        <v>134</v>
      </c>
      <c r="X18" s="18" t="s">
        <v>52</v>
      </c>
      <c r="Y18" s="19" t="s">
        <v>64</v>
      </c>
      <c r="Z18" s="24" t="s">
        <v>65</v>
      </c>
      <c r="AA18" s="24" t="s">
        <v>135</v>
      </c>
      <c r="AB18" s="24" t="s">
        <v>80</v>
      </c>
      <c r="AC18" s="24" t="s">
        <v>136</v>
      </c>
      <c r="AD18" s="24" t="s">
        <v>137</v>
      </c>
      <c r="AE18" s="29" t="s">
        <v>112</v>
      </c>
      <c r="AF18" s="21" t="s">
        <v>70</v>
      </c>
      <c r="AG18" s="24" t="s">
        <v>71</v>
      </c>
      <c r="AH18" s="24" t="s">
        <v>72</v>
      </c>
      <c r="AI18" s="22" t="s">
        <v>73</v>
      </c>
      <c r="AJ18" s="23" t="s">
        <v>73</v>
      </c>
    </row>
    <row r="19" spans="1:36" ht="16" customHeight="1" x14ac:dyDescent="0.2">
      <c r="A19" s="24" t="s">
        <v>138</v>
      </c>
      <c r="B19" s="25" t="s">
        <v>44</v>
      </c>
      <c r="C19" s="25" t="s">
        <v>45</v>
      </c>
      <c r="D19" s="25" t="s">
        <v>46</v>
      </c>
      <c r="E19" s="25" t="s">
        <v>47</v>
      </c>
      <c r="F19" s="26" t="s">
        <v>108</v>
      </c>
      <c r="G19" s="25" t="s">
        <v>49</v>
      </c>
      <c r="H19" s="25" t="s">
        <v>50</v>
      </c>
      <c r="I19" s="24" t="s">
        <v>51</v>
      </c>
      <c r="J19" s="24" t="s">
        <v>52</v>
      </c>
      <c r="K19" s="25" t="s">
        <v>53</v>
      </c>
      <c r="L19" s="27" t="s">
        <v>54</v>
      </c>
      <c r="M19" s="24" t="s">
        <v>55</v>
      </c>
      <c r="N19" s="24" t="s">
        <v>56</v>
      </c>
      <c r="O19" s="24" t="s">
        <v>57</v>
      </c>
      <c r="P19" s="24" t="s">
        <v>58</v>
      </c>
      <c r="Q19" s="24" t="s">
        <v>52</v>
      </c>
      <c r="R19" s="24" t="s">
        <v>59</v>
      </c>
      <c r="S19" s="24" t="s">
        <v>60</v>
      </c>
      <c r="T19" s="24" t="s">
        <v>61</v>
      </c>
      <c r="U19" s="28" t="s">
        <v>52</v>
      </c>
      <c r="V19" s="18" t="s">
        <v>80</v>
      </c>
      <c r="W19" s="18" t="s">
        <v>139</v>
      </c>
      <c r="X19" s="18" t="s">
        <v>52</v>
      </c>
      <c r="Y19" s="19" t="s">
        <v>64</v>
      </c>
      <c r="Z19" s="24" t="s">
        <v>65</v>
      </c>
      <c r="AA19" s="24" t="s">
        <v>140</v>
      </c>
      <c r="AB19" s="24" t="s">
        <v>80</v>
      </c>
      <c r="AC19" s="24" t="s">
        <v>141</v>
      </c>
      <c r="AD19" s="24" t="s">
        <v>142</v>
      </c>
      <c r="AE19" s="29" t="s">
        <v>112</v>
      </c>
      <c r="AF19" s="21" t="s">
        <v>70</v>
      </c>
      <c r="AG19" s="24" t="s">
        <v>71</v>
      </c>
      <c r="AH19" s="24" t="s">
        <v>72</v>
      </c>
      <c r="AI19" s="22" t="s">
        <v>73</v>
      </c>
      <c r="AJ19" s="23" t="s">
        <v>73</v>
      </c>
    </row>
    <row r="20" spans="1:36" ht="16" customHeight="1" x14ac:dyDescent="0.2">
      <c r="A20" s="24" t="s">
        <v>143</v>
      </c>
      <c r="B20" s="25" t="s">
        <v>44</v>
      </c>
      <c r="C20" s="25" t="s">
        <v>45</v>
      </c>
      <c r="D20" s="25" t="s">
        <v>46</v>
      </c>
      <c r="E20" s="25" t="s">
        <v>47</v>
      </c>
      <c r="F20" s="26" t="s">
        <v>108</v>
      </c>
      <c r="G20" s="25" t="s">
        <v>49</v>
      </c>
      <c r="H20" s="25" t="s">
        <v>50</v>
      </c>
      <c r="I20" s="24" t="s">
        <v>51</v>
      </c>
      <c r="J20" s="24" t="s">
        <v>52</v>
      </c>
      <c r="K20" s="25" t="s">
        <v>53</v>
      </c>
      <c r="L20" s="27" t="s">
        <v>54</v>
      </c>
      <c r="M20" s="24" t="s">
        <v>55</v>
      </c>
      <c r="N20" s="24" t="s">
        <v>56</v>
      </c>
      <c r="O20" s="24" t="s">
        <v>57</v>
      </c>
      <c r="P20" s="24" t="s">
        <v>58</v>
      </c>
      <c r="Q20" s="24" t="s">
        <v>52</v>
      </c>
      <c r="R20" s="24" t="s">
        <v>59</v>
      </c>
      <c r="S20" s="24" t="s">
        <v>60</v>
      </c>
      <c r="T20" s="24" t="s">
        <v>61</v>
      </c>
      <c r="U20" s="28" t="s">
        <v>52</v>
      </c>
      <c r="V20" s="18" t="s">
        <v>80</v>
      </c>
      <c r="W20" s="18" t="s">
        <v>144</v>
      </c>
      <c r="X20" s="18" t="s">
        <v>52</v>
      </c>
      <c r="Y20" s="19" t="s">
        <v>64</v>
      </c>
      <c r="Z20" s="24" t="s">
        <v>65</v>
      </c>
      <c r="AA20" s="24" t="s">
        <v>145</v>
      </c>
      <c r="AB20" s="24" t="s">
        <v>80</v>
      </c>
      <c r="AC20" s="24" t="s">
        <v>146</v>
      </c>
      <c r="AD20" s="24" t="s">
        <v>147</v>
      </c>
      <c r="AE20" s="29" t="s">
        <v>112</v>
      </c>
      <c r="AF20" s="21" t="s">
        <v>70</v>
      </c>
      <c r="AG20" s="24" t="s">
        <v>71</v>
      </c>
      <c r="AH20" s="24" t="s">
        <v>72</v>
      </c>
      <c r="AI20" s="22" t="s">
        <v>73</v>
      </c>
      <c r="AJ20" s="23" t="s">
        <v>73</v>
      </c>
    </row>
    <row r="21" spans="1:36" ht="16" customHeight="1" x14ac:dyDescent="0.2">
      <c r="A21" s="24" t="s">
        <v>148</v>
      </c>
      <c r="B21" s="25" t="s">
        <v>44</v>
      </c>
      <c r="C21" s="25" t="s">
        <v>45</v>
      </c>
      <c r="D21" s="25" t="s">
        <v>46</v>
      </c>
      <c r="E21" s="25" t="s">
        <v>47</v>
      </c>
      <c r="F21" s="26" t="s">
        <v>108</v>
      </c>
      <c r="G21" s="25" t="s">
        <v>49</v>
      </c>
      <c r="H21" s="25" t="s">
        <v>50</v>
      </c>
      <c r="I21" s="24" t="s">
        <v>51</v>
      </c>
      <c r="J21" s="24" t="s">
        <v>52</v>
      </c>
      <c r="K21" s="25" t="s">
        <v>53</v>
      </c>
      <c r="L21" s="27" t="s">
        <v>54</v>
      </c>
      <c r="M21" s="24" t="s">
        <v>55</v>
      </c>
      <c r="N21" s="24" t="s">
        <v>56</v>
      </c>
      <c r="O21" s="24" t="s">
        <v>57</v>
      </c>
      <c r="P21" s="24" t="s">
        <v>58</v>
      </c>
      <c r="Q21" s="24" t="s">
        <v>52</v>
      </c>
      <c r="R21" s="24" t="s">
        <v>59</v>
      </c>
      <c r="S21" s="24" t="s">
        <v>60</v>
      </c>
      <c r="T21" s="24" t="s">
        <v>61</v>
      </c>
      <c r="U21" s="28" t="s">
        <v>52</v>
      </c>
      <c r="V21" s="18" t="s">
        <v>80</v>
      </c>
      <c r="W21" s="18" t="s">
        <v>149</v>
      </c>
      <c r="X21" s="18" t="s">
        <v>52</v>
      </c>
      <c r="Y21" s="19" t="s">
        <v>64</v>
      </c>
      <c r="Z21" s="24" t="s">
        <v>65</v>
      </c>
      <c r="AA21" s="24" t="s">
        <v>150</v>
      </c>
      <c r="AB21" s="24" t="s">
        <v>80</v>
      </c>
      <c r="AC21" s="24" t="s">
        <v>151</v>
      </c>
      <c r="AD21" s="24" t="s">
        <v>152</v>
      </c>
      <c r="AE21" s="29" t="s">
        <v>112</v>
      </c>
      <c r="AF21" s="21" t="s">
        <v>70</v>
      </c>
      <c r="AG21" s="24" t="s">
        <v>71</v>
      </c>
      <c r="AH21" s="24" t="s">
        <v>72</v>
      </c>
      <c r="AI21" s="22" t="s">
        <v>73</v>
      </c>
      <c r="AJ21" s="23" t="s">
        <v>73</v>
      </c>
    </row>
    <row r="22" spans="1:36" ht="16" customHeight="1" x14ac:dyDescent="0.2">
      <c r="A22" s="24" t="s">
        <v>153</v>
      </c>
      <c r="B22" s="25" t="s">
        <v>44</v>
      </c>
      <c r="C22" s="25" t="s">
        <v>45</v>
      </c>
      <c r="D22" s="25" t="s">
        <v>46</v>
      </c>
      <c r="E22" s="25" t="s">
        <v>47</v>
      </c>
      <c r="F22" s="26" t="s">
        <v>154</v>
      </c>
      <c r="G22" s="25" t="s">
        <v>49</v>
      </c>
      <c r="H22" s="25" t="s">
        <v>50</v>
      </c>
      <c r="I22" s="24" t="s">
        <v>51</v>
      </c>
      <c r="J22" s="24" t="s">
        <v>52</v>
      </c>
      <c r="K22" s="25" t="s">
        <v>53</v>
      </c>
      <c r="L22" s="27" t="s">
        <v>54</v>
      </c>
      <c r="M22" s="24" t="s">
        <v>55</v>
      </c>
      <c r="N22" s="24" t="s">
        <v>56</v>
      </c>
      <c r="O22" s="24" t="s">
        <v>57</v>
      </c>
      <c r="P22" s="24" t="s">
        <v>58</v>
      </c>
      <c r="Q22" s="24" t="s">
        <v>52</v>
      </c>
      <c r="R22" s="24" t="s">
        <v>59</v>
      </c>
      <c r="S22" s="24" t="s">
        <v>60</v>
      </c>
      <c r="T22" s="24" t="s">
        <v>61</v>
      </c>
      <c r="U22" s="28" t="s">
        <v>52</v>
      </c>
      <c r="V22" s="18" t="s">
        <v>87</v>
      </c>
      <c r="W22" s="18" t="s">
        <v>63</v>
      </c>
      <c r="X22" s="18" t="s">
        <v>52</v>
      </c>
      <c r="Y22" s="19" t="s">
        <v>64</v>
      </c>
      <c r="Z22" s="24" t="s">
        <v>65</v>
      </c>
      <c r="AA22" s="24" t="s">
        <v>155</v>
      </c>
      <c r="AB22" s="24" t="s">
        <v>87</v>
      </c>
      <c r="AC22" s="24" t="s">
        <v>156</v>
      </c>
      <c r="AD22" s="24" t="s">
        <v>111</v>
      </c>
      <c r="AE22" s="29" t="s">
        <v>112</v>
      </c>
      <c r="AF22" s="21" t="s">
        <v>70</v>
      </c>
      <c r="AG22" s="24" t="s">
        <v>71</v>
      </c>
      <c r="AH22" s="24" t="s">
        <v>72</v>
      </c>
      <c r="AI22" s="22" t="s">
        <v>73</v>
      </c>
      <c r="AJ22" s="23" t="s">
        <v>73</v>
      </c>
    </row>
    <row r="23" spans="1:36" ht="16" customHeight="1" x14ac:dyDescent="0.2">
      <c r="A23" s="24" t="s">
        <v>157</v>
      </c>
      <c r="B23" s="25" t="s">
        <v>44</v>
      </c>
      <c r="C23" s="25" t="s">
        <v>45</v>
      </c>
      <c r="D23" s="25" t="s">
        <v>46</v>
      </c>
      <c r="E23" s="25" t="s">
        <v>47</v>
      </c>
      <c r="F23" s="26" t="s">
        <v>154</v>
      </c>
      <c r="G23" s="25" t="s">
        <v>49</v>
      </c>
      <c r="H23" s="25" t="s">
        <v>50</v>
      </c>
      <c r="I23" s="24" t="s">
        <v>51</v>
      </c>
      <c r="J23" s="24" t="s">
        <v>52</v>
      </c>
      <c r="K23" s="25" t="s">
        <v>53</v>
      </c>
      <c r="L23" s="27" t="s">
        <v>54</v>
      </c>
      <c r="M23" s="24" t="s">
        <v>55</v>
      </c>
      <c r="N23" s="24" t="s">
        <v>56</v>
      </c>
      <c r="O23" s="24" t="s">
        <v>57</v>
      </c>
      <c r="P23" s="24" t="s">
        <v>58</v>
      </c>
      <c r="Q23" s="24" t="s">
        <v>52</v>
      </c>
      <c r="R23" s="24" t="s">
        <v>59</v>
      </c>
      <c r="S23" s="24" t="s">
        <v>60</v>
      </c>
      <c r="T23" s="24" t="s">
        <v>61</v>
      </c>
      <c r="U23" s="28" t="s">
        <v>52</v>
      </c>
      <c r="V23" s="18" t="s">
        <v>87</v>
      </c>
      <c r="W23" s="18" t="s">
        <v>114</v>
      </c>
      <c r="X23" s="18" t="s">
        <v>52</v>
      </c>
      <c r="Y23" s="19" t="s">
        <v>64</v>
      </c>
      <c r="Z23" s="24" t="s">
        <v>65</v>
      </c>
      <c r="AA23" s="24" t="s">
        <v>158</v>
      </c>
      <c r="AB23" s="24" t="s">
        <v>87</v>
      </c>
      <c r="AC23" s="24" t="s">
        <v>159</v>
      </c>
      <c r="AD23" s="24" t="s">
        <v>117</v>
      </c>
      <c r="AE23" s="29" t="s">
        <v>112</v>
      </c>
      <c r="AF23" s="21" t="s">
        <v>70</v>
      </c>
      <c r="AG23" s="24" t="s">
        <v>71</v>
      </c>
      <c r="AH23" s="24" t="s">
        <v>72</v>
      </c>
      <c r="AI23" s="22" t="s">
        <v>73</v>
      </c>
      <c r="AJ23" s="23" t="s">
        <v>73</v>
      </c>
    </row>
    <row r="24" spans="1:36" ht="16" customHeight="1" x14ac:dyDescent="0.2">
      <c r="A24" s="24" t="s">
        <v>160</v>
      </c>
      <c r="B24" s="25" t="s">
        <v>44</v>
      </c>
      <c r="C24" s="25" t="s">
        <v>45</v>
      </c>
      <c r="D24" s="25" t="s">
        <v>46</v>
      </c>
      <c r="E24" s="25" t="s">
        <v>47</v>
      </c>
      <c r="F24" s="26" t="s">
        <v>154</v>
      </c>
      <c r="G24" s="25" t="s">
        <v>49</v>
      </c>
      <c r="H24" s="25" t="s">
        <v>50</v>
      </c>
      <c r="I24" s="24" t="s">
        <v>51</v>
      </c>
      <c r="J24" s="24" t="s">
        <v>52</v>
      </c>
      <c r="K24" s="25" t="s">
        <v>53</v>
      </c>
      <c r="L24" s="27" t="s">
        <v>54</v>
      </c>
      <c r="M24" s="24" t="s">
        <v>55</v>
      </c>
      <c r="N24" s="24" t="s">
        <v>56</v>
      </c>
      <c r="O24" s="24" t="s">
        <v>57</v>
      </c>
      <c r="P24" s="24" t="s">
        <v>58</v>
      </c>
      <c r="Q24" s="24" t="s">
        <v>52</v>
      </c>
      <c r="R24" s="24" t="s">
        <v>59</v>
      </c>
      <c r="S24" s="24" t="s">
        <v>60</v>
      </c>
      <c r="T24" s="24" t="s">
        <v>61</v>
      </c>
      <c r="U24" s="28" t="s">
        <v>52</v>
      </c>
      <c r="V24" s="18" t="s">
        <v>87</v>
      </c>
      <c r="W24" s="18" t="s">
        <v>119</v>
      </c>
      <c r="X24" s="18" t="s">
        <v>52</v>
      </c>
      <c r="Y24" s="19" t="s">
        <v>64</v>
      </c>
      <c r="Z24" s="24" t="s">
        <v>65</v>
      </c>
      <c r="AA24" s="24" t="s">
        <v>161</v>
      </c>
      <c r="AB24" s="24" t="s">
        <v>87</v>
      </c>
      <c r="AC24" s="24" t="s">
        <v>162</v>
      </c>
      <c r="AD24" s="24" t="s">
        <v>122</v>
      </c>
      <c r="AE24" s="29" t="s">
        <v>112</v>
      </c>
      <c r="AF24" s="21" t="s">
        <v>70</v>
      </c>
      <c r="AG24" s="24" t="s">
        <v>71</v>
      </c>
      <c r="AH24" s="24" t="s">
        <v>72</v>
      </c>
      <c r="AI24" s="22" t="s">
        <v>73</v>
      </c>
      <c r="AJ24" s="23" t="s">
        <v>73</v>
      </c>
    </row>
    <row r="25" spans="1:36" ht="16" customHeight="1" x14ac:dyDescent="0.2">
      <c r="A25" s="24" t="s">
        <v>163</v>
      </c>
      <c r="B25" s="25" t="s">
        <v>44</v>
      </c>
      <c r="C25" s="25" t="s">
        <v>45</v>
      </c>
      <c r="D25" s="25" t="s">
        <v>46</v>
      </c>
      <c r="E25" s="25" t="s">
        <v>47</v>
      </c>
      <c r="F25" s="26" t="s">
        <v>154</v>
      </c>
      <c r="G25" s="25" t="s">
        <v>49</v>
      </c>
      <c r="H25" s="25" t="s">
        <v>50</v>
      </c>
      <c r="I25" s="24" t="s">
        <v>51</v>
      </c>
      <c r="J25" s="24" t="s">
        <v>52</v>
      </c>
      <c r="K25" s="25" t="s">
        <v>53</v>
      </c>
      <c r="L25" s="27" t="s">
        <v>54</v>
      </c>
      <c r="M25" s="24" t="s">
        <v>55</v>
      </c>
      <c r="N25" s="24" t="s">
        <v>56</v>
      </c>
      <c r="O25" s="24" t="s">
        <v>57</v>
      </c>
      <c r="P25" s="24" t="s">
        <v>58</v>
      </c>
      <c r="Q25" s="24" t="s">
        <v>52</v>
      </c>
      <c r="R25" s="24" t="s">
        <v>59</v>
      </c>
      <c r="S25" s="24" t="s">
        <v>60</v>
      </c>
      <c r="T25" s="24" t="s">
        <v>61</v>
      </c>
      <c r="U25" s="28" t="s">
        <v>52</v>
      </c>
      <c r="V25" s="18" t="s">
        <v>87</v>
      </c>
      <c r="W25" s="18" t="s">
        <v>124</v>
      </c>
      <c r="X25" s="18" t="s">
        <v>52</v>
      </c>
      <c r="Y25" s="19" t="s">
        <v>64</v>
      </c>
      <c r="Z25" s="24" t="s">
        <v>65</v>
      </c>
      <c r="AA25" s="24" t="s">
        <v>164</v>
      </c>
      <c r="AB25" s="24" t="s">
        <v>87</v>
      </c>
      <c r="AC25" s="24" t="s">
        <v>165</v>
      </c>
      <c r="AD25" s="24" t="s">
        <v>127</v>
      </c>
      <c r="AE25" s="29" t="s">
        <v>112</v>
      </c>
      <c r="AF25" s="21" t="s">
        <v>70</v>
      </c>
      <c r="AG25" s="24" t="s">
        <v>71</v>
      </c>
      <c r="AH25" s="24" t="s">
        <v>72</v>
      </c>
      <c r="AI25" s="22" t="s">
        <v>73</v>
      </c>
      <c r="AJ25" s="23" t="s">
        <v>73</v>
      </c>
    </row>
    <row r="26" spans="1:36" ht="16" customHeight="1" x14ac:dyDescent="0.2">
      <c r="A26" s="24" t="s">
        <v>166</v>
      </c>
      <c r="B26" s="25" t="s">
        <v>44</v>
      </c>
      <c r="C26" s="25" t="s">
        <v>45</v>
      </c>
      <c r="D26" s="25" t="s">
        <v>46</v>
      </c>
      <c r="E26" s="25" t="s">
        <v>47</v>
      </c>
      <c r="F26" s="26" t="s">
        <v>154</v>
      </c>
      <c r="G26" s="25" t="s">
        <v>49</v>
      </c>
      <c r="H26" s="25" t="s">
        <v>50</v>
      </c>
      <c r="I26" s="24" t="s">
        <v>51</v>
      </c>
      <c r="J26" s="24" t="s">
        <v>52</v>
      </c>
      <c r="K26" s="25" t="s">
        <v>53</v>
      </c>
      <c r="L26" s="27" t="s">
        <v>54</v>
      </c>
      <c r="M26" s="24" t="s">
        <v>55</v>
      </c>
      <c r="N26" s="24" t="s">
        <v>56</v>
      </c>
      <c r="O26" s="24" t="s">
        <v>57</v>
      </c>
      <c r="P26" s="24" t="s">
        <v>58</v>
      </c>
      <c r="Q26" s="24" t="s">
        <v>52</v>
      </c>
      <c r="R26" s="24" t="s">
        <v>59</v>
      </c>
      <c r="S26" s="24" t="s">
        <v>60</v>
      </c>
      <c r="T26" s="24" t="s">
        <v>61</v>
      </c>
      <c r="U26" s="28" t="s">
        <v>52</v>
      </c>
      <c r="V26" s="18" t="s">
        <v>87</v>
      </c>
      <c r="W26" s="18" t="s">
        <v>129</v>
      </c>
      <c r="X26" s="18" t="s">
        <v>52</v>
      </c>
      <c r="Y26" s="19" t="s">
        <v>64</v>
      </c>
      <c r="Z26" s="24" t="s">
        <v>65</v>
      </c>
      <c r="AA26" s="24" t="s">
        <v>167</v>
      </c>
      <c r="AB26" s="24" t="s">
        <v>87</v>
      </c>
      <c r="AC26" s="24" t="s">
        <v>168</v>
      </c>
      <c r="AD26" s="24" t="s">
        <v>132</v>
      </c>
      <c r="AE26" s="29" t="s">
        <v>112</v>
      </c>
      <c r="AF26" s="21" t="s">
        <v>70</v>
      </c>
      <c r="AG26" s="24" t="s">
        <v>71</v>
      </c>
      <c r="AH26" s="24" t="s">
        <v>72</v>
      </c>
      <c r="AI26" s="22" t="s">
        <v>73</v>
      </c>
      <c r="AJ26" s="23" t="s">
        <v>73</v>
      </c>
    </row>
    <row r="27" spans="1:36" ht="16" customHeight="1" x14ac:dyDescent="0.2">
      <c r="A27" s="24" t="s">
        <v>169</v>
      </c>
      <c r="B27" s="25" t="s">
        <v>44</v>
      </c>
      <c r="C27" s="25" t="s">
        <v>45</v>
      </c>
      <c r="D27" s="25" t="s">
        <v>46</v>
      </c>
      <c r="E27" s="25" t="s">
        <v>47</v>
      </c>
      <c r="F27" s="26" t="s">
        <v>154</v>
      </c>
      <c r="G27" s="25" t="s">
        <v>49</v>
      </c>
      <c r="H27" s="25" t="s">
        <v>50</v>
      </c>
      <c r="I27" s="24" t="s">
        <v>51</v>
      </c>
      <c r="J27" s="24" t="s">
        <v>52</v>
      </c>
      <c r="K27" s="25" t="s">
        <v>53</v>
      </c>
      <c r="L27" s="27" t="s">
        <v>54</v>
      </c>
      <c r="M27" s="24" t="s">
        <v>55</v>
      </c>
      <c r="N27" s="24" t="s">
        <v>56</v>
      </c>
      <c r="O27" s="24" t="s">
        <v>57</v>
      </c>
      <c r="P27" s="24" t="s">
        <v>58</v>
      </c>
      <c r="Q27" s="24" t="s">
        <v>52</v>
      </c>
      <c r="R27" s="24" t="s">
        <v>59</v>
      </c>
      <c r="S27" s="24" t="s">
        <v>60</v>
      </c>
      <c r="T27" s="24" t="s">
        <v>61</v>
      </c>
      <c r="U27" s="28" t="s">
        <v>52</v>
      </c>
      <c r="V27" s="18" t="s">
        <v>87</v>
      </c>
      <c r="W27" s="18" t="s">
        <v>134</v>
      </c>
      <c r="X27" s="18" t="s">
        <v>52</v>
      </c>
      <c r="Y27" s="19" t="s">
        <v>64</v>
      </c>
      <c r="Z27" s="24" t="s">
        <v>65</v>
      </c>
      <c r="AA27" s="24" t="s">
        <v>170</v>
      </c>
      <c r="AB27" s="24" t="s">
        <v>87</v>
      </c>
      <c r="AC27" s="24" t="s">
        <v>171</v>
      </c>
      <c r="AD27" s="24" t="s">
        <v>137</v>
      </c>
      <c r="AE27" s="29" t="s">
        <v>112</v>
      </c>
      <c r="AF27" s="21" t="s">
        <v>70</v>
      </c>
      <c r="AG27" s="24" t="s">
        <v>71</v>
      </c>
      <c r="AH27" s="24" t="s">
        <v>72</v>
      </c>
      <c r="AI27" s="22" t="s">
        <v>73</v>
      </c>
      <c r="AJ27" s="23" t="s">
        <v>73</v>
      </c>
    </row>
    <row r="28" spans="1:36" ht="16" customHeight="1" x14ac:dyDescent="0.2">
      <c r="A28" s="24" t="s">
        <v>172</v>
      </c>
      <c r="B28" s="25" t="s">
        <v>44</v>
      </c>
      <c r="C28" s="25" t="s">
        <v>45</v>
      </c>
      <c r="D28" s="25" t="s">
        <v>46</v>
      </c>
      <c r="E28" s="25" t="s">
        <v>47</v>
      </c>
      <c r="F28" s="26" t="s">
        <v>154</v>
      </c>
      <c r="G28" s="25" t="s">
        <v>49</v>
      </c>
      <c r="H28" s="25" t="s">
        <v>50</v>
      </c>
      <c r="I28" s="24" t="s">
        <v>51</v>
      </c>
      <c r="J28" s="24" t="s">
        <v>52</v>
      </c>
      <c r="K28" s="25" t="s">
        <v>53</v>
      </c>
      <c r="L28" s="27" t="s">
        <v>54</v>
      </c>
      <c r="M28" s="24" t="s">
        <v>55</v>
      </c>
      <c r="N28" s="24" t="s">
        <v>56</v>
      </c>
      <c r="O28" s="24" t="s">
        <v>57</v>
      </c>
      <c r="P28" s="24" t="s">
        <v>58</v>
      </c>
      <c r="Q28" s="24" t="s">
        <v>52</v>
      </c>
      <c r="R28" s="24" t="s">
        <v>59</v>
      </c>
      <c r="S28" s="24" t="s">
        <v>60</v>
      </c>
      <c r="T28" s="24" t="s">
        <v>61</v>
      </c>
      <c r="U28" s="28" t="s">
        <v>52</v>
      </c>
      <c r="V28" s="18" t="s">
        <v>87</v>
      </c>
      <c r="W28" s="18" t="s">
        <v>139</v>
      </c>
      <c r="X28" s="18" t="s">
        <v>52</v>
      </c>
      <c r="Y28" s="19" t="s">
        <v>64</v>
      </c>
      <c r="Z28" s="24" t="s">
        <v>65</v>
      </c>
      <c r="AA28" s="24" t="s">
        <v>173</v>
      </c>
      <c r="AB28" s="24" t="s">
        <v>87</v>
      </c>
      <c r="AC28" s="24" t="s">
        <v>174</v>
      </c>
      <c r="AD28" s="24" t="s">
        <v>142</v>
      </c>
      <c r="AE28" s="29" t="s">
        <v>112</v>
      </c>
      <c r="AF28" s="21" t="s">
        <v>70</v>
      </c>
      <c r="AG28" s="24" t="s">
        <v>71</v>
      </c>
      <c r="AH28" s="24" t="s">
        <v>72</v>
      </c>
      <c r="AI28" s="22" t="s">
        <v>73</v>
      </c>
      <c r="AJ28" s="23" t="s">
        <v>73</v>
      </c>
    </row>
    <row r="29" spans="1:36" ht="16" customHeight="1" x14ac:dyDescent="0.2">
      <c r="A29" s="24" t="s">
        <v>175</v>
      </c>
      <c r="B29" s="25" t="s">
        <v>44</v>
      </c>
      <c r="C29" s="25" t="s">
        <v>45</v>
      </c>
      <c r="D29" s="25" t="s">
        <v>46</v>
      </c>
      <c r="E29" s="25" t="s">
        <v>47</v>
      </c>
      <c r="F29" s="26" t="s">
        <v>154</v>
      </c>
      <c r="G29" s="25" t="s">
        <v>49</v>
      </c>
      <c r="H29" s="25" t="s">
        <v>50</v>
      </c>
      <c r="I29" s="24" t="s">
        <v>51</v>
      </c>
      <c r="J29" s="24" t="s">
        <v>52</v>
      </c>
      <c r="K29" s="25" t="s">
        <v>53</v>
      </c>
      <c r="L29" s="27" t="s">
        <v>54</v>
      </c>
      <c r="M29" s="24" t="s">
        <v>55</v>
      </c>
      <c r="N29" s="24" t="s">
        <v>56</v>
      </c>
      <c r="O29" s="24" t="s">
        <v>57</v>
      </c>
      <c r="P29" s="24" t="s">
        <v>58</v>
      </c>
      <c r="Q29" s="24" t="s">
        <v>52</v>
      </c>
      <c r="R29" s="24" t="s">
        <v>59</v>
      </c>
      <c r="S29" s="24" t="s">
        <v>60</v>
      </c>
      <c r="T29" s="24" t="s">
        <v>61</v>
      </c>
      <c r="U29" s="28" t="s">
        <v>52</v>
      </c>
      <c r="V29" s="18" t="s">
        <v>87</v>
      </c>
      <c r="W29" s="18" t="s">
        <v>144</v>
      </c>
      <c r="X29" s="18" t="s">
        <v>52</v>
      </c>
      <c r="Y29" s="19" t="s">
        <v>64</v>
      </c>
      <c r="Z29" s="24" t="s">
        <v>65</v>
      </c>
      <c r="AA29" s="24" t="s">
        <v>176</v>
      </c>
      <c r="AB29" s="24" t="s">
        <v>87</v>
      </c>
      <c r="AC29" s="24" t="s">
        <v>177</v>
      </c>
      <c r="AD29" s="24" t="s">
        <v>147</v>
      </c>
      <c r="AE29" s="29" t="s">
        <v>112</v>
      </c>
      <c r="AF29" s="21" t="s">
        <v>70</v>
      </c>
      <c r="AG29" s="24" t="s">
        <v>71</v>
      </c>
      <c r="AH29" s="24" t="s">
        <v>72</v>
      </c>
      <c r="AI29" s="22" t="s">
        <v>73</v>
      </c>
      <c r="AJ29" s="23" t="s">
        <v>73</v>
      </c>
    </row>
    <row r="30" spans="1:36" ht="16" customHeight="1" x14ac:dyDescent="0.2">
      <c r="A30" s="24" t="s">
        <v>178</v>
      </c>
      <c r="B30" s="25" t="s">
        <v>44</v>
      </c>
      <c r="C30" s="25" t="s">
        <v>45</v>
      </c>
      <c r="D30" s="25" t="s">
        <v>46</v>
      </c>
      <c r="E30" s="25" t="s">
        <v>47</v>
      </c>
      <c r="F30" s="26" t="s">
        <v>154</v>
      </c>
      <c r="G30" s="25" t="s">
        <v>49</v>
      </c>
      <c r="H30" s="25" t="s">
        <v>50</v>
      </c>
      <c r="I30" s="24" t="s">
        <v>51</v>
      </c>
      <c r="J30" s="24" t="s">
        <v>52</v>
      </c>
      <c r="K30" s="25" t="s">
        <v>53</v>
      </c>
      <c r="L30" s="27" t="s">
        <v>54</v>
      </c>
      <c r="M30" s="24" t="s">
        <v>55</v>
      </c>
      <c r="N30" s="24" t="s">
        <v>56</v>
      </c>
      <c r="O30" s="24" t="s">
        <v>57</v>
      </c>
      <c r="P30" s="24" t="s">
        <v>58</v>
      </c>
      <c r="Q30" s="24" t="s">
        <v>52</v>
      </c>
      <c r="R30" s="24" t="s">
        <v>59</v>
      </c>
      <c r="S30" s="24" t="s">
        <v>60</v>
      </c>
      <c r="T30" s="24" t="s">
        <v>61</v>
      </c>
      <c r="U30" s="28" t="s">
        <v>52</v>
      </c>
      <c r="V30" s="18" t="s">
        <v>87</v>
      </c>
      <c r="W30" s="18" t="s">
        <v>149</v>
      </c>
      <c r="X30" s="18" t="s">
        <v>52</v>
      </c>
      <c r="Y30" s="19" t="s">
        <v>64</v>
      </c>
      <c r="Z30" s="24" t="s">
        <v>65</v>
      </c>
      <c r="AA30" s="24" t="s">
        <v>179</v>
      </c>
      <c r="AB30" s="24" t="s">
        <v>87</v>
      </c>
      <c r="AC30" s="24" t="s">
        <v>180</v>
      </c>
      <c r="AD30" s="24" t="s">
        <v>152</v>
      </c>
      <c r="AE30" s="29" t="s">
        <v>112</v>
      </c>
      <c r="AF30" s="21" t="s">
        <v>70</v>
      </c>
      <c r="AG30" s="24" t="s">
        <v>71</v>
      </c>
      <c r="AH30" s="24" t="s">
        <v>72</v>
      </c>
      <c r="AI30" s="22" t="s">
        <v>73</v>
      </c>
      <c r="AJ30" s="23" t="s">
        <v>73</v>
      </c>
    </row>
    <row r="31" spans="1:36" ht="16" customHeight="1" x14ac:dyDescent="0.2">
      <c r="A31" s="24" t="s">
        <v>181</v>
      </c>
      <c r="B31" s="25" t="s">
        <v>44</v>
      </c>
      <c r="C31" s="25" t="s">
        <v>45</v>
      </c>
      <c r="D31" s="25" t="s">
        <v>46</v>
      </c>
      <c r="E31" s="25" t="s">
        <v>47</v>
      </c>
      <c r="F31" s="26" t="s">
        <v>182</v>
      </c>
      <c r="G31" s="25" t="s">
        <v>49</v>
      </c>
      <c r="H31" s="25" t="s">
        <v>50</v>
      </c>
      <c r="I31" s="24" t="s">
        <v>51</v>
      </c>
      <c r="J31" s="24" t="s">
        <v>52</v>
      </c>
      <c r="K31" s="25" t="s">
        <v>53</v>
      </c>
      <c r="L31" s="27" t="s">
        <v>54</v>
      </c>
      <c r="M31" s="24" t="s">
        <v>55</v>
      </c>
      <c r="N31" s="24" t="s">
        <v>56</v>
      </c>
      <c r="O31" s="24" t="s">
        <v>57</v>
      </c>
      <c r="P31" s="24" t="s">
        <v>58</v>
      </c>
      <c r="Q31" s="24" t="s">
        <v>52</v>
      </c>
      <c r="R31" s="24" t="s">
        <v>59</v>
      </c>
      <c r="S31" s="24" t="s">
        <v>60</v>
      </c>
      <c r="T31" s="24" t="s">
        <v>61</v>
      </c>
      <c r="U31" s="28" t="s">
        <v>52</v>
      </c>
      <c r="V31" s="18" t="s">
        <v>95</v>
      </c>
      <c r="W31" s="18" t="s">
        <v>63</v>
      </c>
      <c r="X31" s="18" t="s">
        <v>52</v>
      </c>
      <c r="Y31" s="19" t="s">
        <v>64</v>
      </c>
      <c r="Z31" s="24" t="s">
        <v>65</v>
      </c>
      <c r="AA31" s="24" t="s">
        <v>183</v>
      </c>
      <c r="AB31" s="24" t="s">
        <v>97</v>
      </c>
      <c r="AC31" s="24" t="s">
        <v>184</v>
      </c>
      <c r="AD31" s="24" t="s">
        <v>111</v>
      </c>
      <c r="AE31" s="29" t="s">
        <v>112</v>
      </c>
      <c r="AF31" s="21" t="s">
        <v>70</v>
      </c>
      <c r="AG31" s="24" t="s">
        <v>71</v>
      </c>
      <c r="AH31" s="24" t="s">
        <v>72</v>
      </c>
      <c r="AI31" s="22" t="s">
        <v>73</v>
      </c>
      <c r="AJ31" s="23" t="s">
        <v>73</v>
      </c>
    </row>
    <row r="32" spans="1:36" ht="16" customHeight="1" x14ac:dyDescent="0.2">
      <c r="A32" s="24" t="s">
        <v>185</v>
      </c>
      <c r="B32" s="25" t="s">
        <v>44</v>
      </c>
      <c r="C32" s="25" t="s">
        <v>45</v>
      </c>
      <c r="D32" s="25" t="s">
        <v>46</v>
      </c>
      <c r="E32" s="25" t="s">
        <v>47</v>
      </c>
      <c r="F32" s="26" t="s">
        <v>182</v>
      </c>
      <c r="G32" s="25" t="s">
        <v>49</v>
      </c>
      <c r="H32" s="25" t="s">
        <v>50</v>
      </c>
      <c r="I32" s="24" t="s">
        <v>51</v>
      </c>
      <c r="J32" s="24" t="s">
        <v>52</v>
      </c>
      <c r="K32" s="25" t="s">
        <v>53</v>
      </c>
      <c r="L32" s="27" t="s">
        <v>54</v>
      </c>
      <c r="M32" s="24" t="s">
        <v>55</v>
      </c>
      <c r="N32" s="24" t="s">
        <v>56</v>
      </c>
      <c r="O32" s="24" t="s">
        <v>57</v>
      </c>
      <c r="P32" s="24" t="s">
        <v>58</v>
      </c>
      <c r="Q32" s="24" t="s">
        <v>52</v>
      </c>
      <c r="R32" s="24" t="s">
        <v>59</v>
      </c>
      <c r="S32" s="24" t="s">
        <v>60</v>
      </c>
      <c r="T32" s="24" t="s">
        <v>61</v>
      </c>
      <c r="U32" s="28" t="s">
        <v>52</v>
      </c>
      <c r="V32" s="18" t="s">
        <v>95</v>
      </c>
      <c r="W32" s="18" t="s">
        <v>114</v>
      </c>
      <c r="X32" s="18" t="s">
        <v>52</v>
      </c>
      <c r="Y32" s="19" t="s">
        <v>64</v>
      </c>
      <c r="Z32" s="24" t="s">
        <v>65</v>
      </c>
      <c r="AA32" s="24" t="s">
        <v>186</v>
      </c>
      <c r="AB32" s="24" t="s">
        <v>97</v>
      </c>
      <c r="AC32" s="24" t="s">
        <v>187</v>
      </c>
      <c r="AD32" s="24" t="s">
        <v>117</v>
      </c>
      <c r="AE32" s="29" t="s">
        <v>112</v>
      </c>
      <c r="AF32" s="21" t="s">
        <v>70</v>
      </c>
      <c r="AG32" s="24" t="s">
        <v>71</v>
      </c>
      <c r="AH32" s="24" t="s">
        <v>72</v>
      </c>
      <c r="AI32" s="22" t="s">
        <v>73</v>
      </c>
      <c r="AJ32" s="23" t="s">
        <v>73</v>
      </c>
    </row>
    <row r="33" spans="1:36" ht="16" customHeight="1" x14ac:dyDescent="0.2">
      <c r="A33" s="24" t="s">
        <v>188</v>
      </c>
      <c r="B33" s="25" t="s">
        <v>44</v>
      </c>
      <c r="C33" s="25" t="s">
        <v>45</v>
      </c>
      <c r="D33" s="25" t="s">
        <v>46</v>
      </c>
      <c r="E33" s="25" t="s">
        <v>47</v>
      </c>
      <c r="F33" s="26" t="s">
        <v>182</v>
      </c>
      <c r="G33" s="25" t="s">
        <v>49</v>
      </c>
      <c r="H33" s="25" t="s">
        <v>50</v>
      </c>
      <c r="I33" s="24" t="s">
        <v>51</v>
      </c>
      <c r="J33" s="24" t="s">
        <v>52</v>
      </c>
      <c r="K33" s="25" t="s">
        <v>53</v>
      </c>
      <c r="L33" s="27" t="s">
        <v>54</v>
      </c>
      <c r="M33" s="24" t="s">
        <v>55</v>
      </c>
      <c r="N33" s="24" t="s">
        <v>56</v>
      </c>
      <c r="O33" s="24" t="s">
        <v>57</v>
      </c>
      <c r="P33" s="24" t="s">
        <v>58</v>
      </c>
      <c r="Q33" s="24" t="s">
        <v>52</v>
      </c>
      <c r="R33" s="24" t="s">
        <v>59</v>
      </c>
      <c r="S33" s="24" t="s">
        <v>60</v>
      </c>
      <c r="T33" s="24" t="s">
        <v>61</v>
      </c>
      <c r="U33" s="28" t="s">
        <v>52</v>
      </c>
      <c r="V33" s="18" t="s">
        <v>95</v>
      </c>
      <c r="W33" s="18" t="s">
        <v>119</v>
      </c>
      <c r="X33" s="18" t="s">
        <v>52</v>
      </c>
      <c r="Y33" s="19" t="s">
        <v>64</v>
      </c>
      <c r="Z33" s="24" t="s">
        <v>65</v>
      </c>
      <c r="AA33" s="24" t="s">
        <v>179</v>
      </c>
      <c r="AB33" s="24" t="s">
        <v>97</v>
      </c>
      <c r="AC33" s="24" t="s">
        <v>189</v>
      </c>
      <c r="AD33" s="24" t="s">
        <v>122</v>
      </c>
      <c r="AE33" s="29" t="s">
        <v>112</v>
      </c>
      <c r="AF33" s="21" t="s">
        <v>70</v>
      </c>
      <c r="AG33" s="24" t="s">
        <v>71</v>
      </c>
      <c r="AH33" s="24" t="s">
        <v>72</v>
      </c>
      <c r="AI33" s="22" t="s">
        <v>73</v>
      </c>
      <c r="AJ33" s="23" t="s">
        <v>73</v>
      </c>
    </row>
    <row r="34" spans="1:36" ht="16" customHeight="1" x14ac:dyDescent="0.2">
      <c r="A34" s="24" t="s">
        <v>190</v>
      </c>
      <c r="B34" s="25" t="s">
        <v>44</v>
      </c>
      <c r="C34" s="25" t="s">
        <v>45</v>
      </c>
      <c r="D34" s="25" t="s">
        <v>46</v>
      </c>
      <c r="E34" s="25" t="s">
        <v>47</v>
      </c>
      <c r="F34" s="26" t="s">
        <v>182</v>
      </c>
      <c r="G34" s="25" t="s">
        <v>49</v>
      </c>
      <c r="H34" s="25" t="s">
        <v>50</v>
      </c>
      <c r="I34" s="24" t="s">
        <v>51</v>
      </c>
      <c r="J34" s="24" t="s">
        <v>52</v>
      </c>
      <c r="K34" s="25" t="s">
        <v>53</v>
      </c>
      <c r="L34" s="27" t="s">
        <v>54</v>
      </c>
      <c r="M34" s="24" t="s">
        <v>55</v>
      </c>
      <c r="N34" s="24" t="s">
        <v>56</v>
      </c>
      <c r="O34" s="24" t="s">
        <v>57</v>
      </c>
      <c r="P34" s="24" t="s">
        <v>58</v>
      </c>
      <c r="Q34" s="24" t="s">
        <v>52</v>
      </c>
      <c r="R34" s="24" t="s">
        <v>59</v>
      </c>
      <c r="S34" s="24" t="s">
        <v>60</v>
      </c>
      <c r="T34" s="24" t="s">
        <v>61</v>
      </c>
      <c r="U34" s="28" t="s">
        <v>52</v>
      </c>
      <c r="V34" s="18" t="s">
        <v>95</v>
      </c>
      <c r="W34" s="18" t="s">
        <v>124</v>
      </c>
      <c r="X34" s="18" t="s">
        <v>52</v>
      </c>
      <c r="Y34" s="19" t="s">
        <v>64</v>
      </c>
      <c r="Z34" s="24" t="s">
        <v>65</v>
      </c>
      <c r="AA34" s="24" t="s">
        <v>191</v>
      </c>
      <c r="AB34" s="24" t="s">
        <v>97</v>
      </c>
      <c r="AC34" s="24" t="s">
        <v>192</v>
      </c>
      <c r="AD34" s="24" t="s">
        <v>127</v>
      </c>
      <c r="AE34" s="29" t="s">
        <v>112</v>
      </c>
      <c r="AF34" s="21" t="s">
        <v>70</v>
      </c>
      <c r="AG34" s="24" t="s">
        <v>71</v>
      </c>
      <c r="AH34" s="24" t="s">
        <v>72</v>
      </c>
      <c r="AI34" s="22" t="s">
        <v>73</v>
      </c>
      <c r="AJ34" s="23" t="s">
        <v>73</v>
      </c>
    </row>
    <row r="35" spans="1:36" ht="16" customHeight="1" x14ac:dyDescent="0.2">
      <c r="A35" s="24" t="s">
        <v>193</v>
      </c>
      <c r="B35" s="25" t="s">
        <v>44</v>
      </c>
      <c r="C35" s="25" t="s">
        <v>45</v>
      </c>
      <c r="D35" s="25" t="s">
        <v>46</v>
      </c>
      <c r="E35" s="25" t="s">
        <v>47</v>
      </c>
      <c r="F35" s="26" t="s">
        <v>182</v>
      </c>
      <c r="G35" s="25" t="s">
        <v>49</v>
      </c>
      <c r="H35" s="25" t="s">
        <v>50</v>
      </c>
      <c r="I35" s="24" t="s">
        <v>51</v>
      </c>
      <c r="J35" s="24" t="s">
        <v>52</v>
      </c>
      <c r="K35" s="25" t="s">
        <v>53</v>
      </c>
      <c r="L35" s="27" t="s">
        <v>54</v>
      </c>
      <c r="M35" s="24" t="s">
        <v>55</v>
      </c>
      <c r="N35" s="24" t="s">
        <v>56</v>
      </c>
      <c r="O35" s="24" t="s">
        <v>57</v>
      </c>
      <c r="P35" s="24" t="s">
        <v>58</v>
      </c>
      <c r="Q35" s="24" t="s">
        <v>52</v>
      </c>
      <c r="R35" s="24" t="s">
        <v>59</v>
      </c>
      <c r="S35" s="24" t="s">
        <v>60</v>
      </c>
      <c r="T35" s="24" t="s">
        <v>61</v>
      </c>
      <c r="U35" s="28" t="s">
        <v>52</v>
      </c>
      <c r="V35" s="18" t="s">
        <v>95</v>
      </c>
      <c r="W35" s="18" t="s">
        <v>129</v>
      </c>
      <c r="X35" s="18" t="s">
        <v>52</v>
      </c>
      <c r="Y35" s="19" t="s">
        <v>64</v>
      </c>
      <c r="Z35" s="24" t="s">
        <v>65</v>
      </c>
      <c r="AA35" s="24" t="s">
        <v>194</v>
      </c>
      <c r="AB35" s="24" t="s">
        <v>97</v>
      </c>
      <c r="AC35" s="24" t="s">
        <v>195</v>
      </c>
      <c r="AD35" s="24" t="s">
        <v>132</v>
      </c>
      <c r="AE35" s="29" t="s">
        <v>112</v>
      </c>
      <c r="AF35" s="21" t="s">
        <v>70</v>
      </c>
      <c r="AG35" s="24" t="s">
        <v>71</v>
      </c>
      <c r="AH35" s="24" t="s">
        <v>72</v>
      </c>
      <c r="AI35" s="22" t="s">
        <v>73</v>
      </c>
      <c r="AJ35" s="23" t="s">
        <v>73</v>
      </c>
    </row>
    <row r="36" spans="1:36" ht="16" customHeight="1" x14ac:dyDescent="0.2">
      <c r="A36" s="24" t="s">
        <v>196</v>
      </c>
      <c r="B36" s="25" t="s">
        <v>44</v>
      </c>
      <c r="C36" s="25" t="s">
        <v>45</v>
      </c>
      <c r="D36" s="25" t="s">
        <v>46</v>
      </c>
      <c r="E36" s="25" t="s">
        <v>47</v>
      </c>
      <c r="F36" s="26" t="s">
        <v>182</v>
      </c>
      <c r="G36" s="25" t="s">
        <v>49</v>
      </c>
      <c r="H36" s="25" t="s">
        <v>50</v>
      </c>
      <c r="I36" s="24" t="s">
        <v>51</v>
      </c>
      <c r="J36" s="24" t="s">
        <v>52</v>
      </c>
      <c r="K36" s="25" t="s">
        <v>53</v>
      </c>
      <c r="L36" s="27" t="s">
        <v>54</v>
      </c>
      <c r="M36" s="24" t="s">
        <v>55</v>
      </c>
      <c r="N36" s="24" t="s">
        <v>56</v>
      </c>
      <c r="O36" s="24" t="s">
        <v>57</v>
      </c>
      <c r="P36" s="24" t="s">
        <v>58</v>
      </c>
      <c r="Q36" s="24" t="s">
        <v>52</v>
      </c>
      <c r="R36" s="24" t="s">
        <v>59</v>
      </c>
      <c r="S36" s="24" t="s">
        <v>60</v>
      </c>
      <c r="T36" s="24" t="s">
        <v>61</v>
      </c>
      <c r="U36" s="28" t="s">
        <v>52</v>
      </c>
      <c r="V36" s="18" t="s">
        <v>95</v>
      </c>
      <c r="W36" s="18" t="s">
        <v>134</v>
      </c>
      <c r="X36" s="18" t="s">
        <v>52</v>
      </c>
      <c r="Y36" s="19" t="s">
        <v>64</v>
      </c>
      <c r="Z36" s="24" t="s">
        <v>65</v>
      </c>
      <c r="AA36" s="24" t="s">
        <v>197</v>
      </c>
      <c r="AB36" s="24" t="s">
        <v>97</v>
      </c>
      <c r="AC36" s="24" t="s">
        <v>198</v>
      </c>
      <c r="AD36" s="24" t="s">
        <v>137</v>
      </c>
      <c r="AE36" s="29" t="s">
        <v>112</v>
      </c>
      <c r="AF36" s="21" t="s">
        <v>70</v>
      </c>
      <c r="AG36" s="24" t="s">
        <v>71</v>
      </c>
      <c r="AH36" s="24" t="s">
        <v>72</v>
      </c>
      <c r="AI36" s="22" t="s">
        <v>73</v>
      </c>
      <c r="AJ36" s="23" t="s">
        <v>73</v>
      </c>
    </row>
    <row r="37" spans="1:36" ht="16" customHeight="1" x14ac:dyDescent="0.2">
      <c r="A37" s="24" t="s">
        <v>199</v>
      </c>
      <c r="B37" s="25" t="s">
        <v>44</v>
      </c>
      <c r="C37" s="25" t="s">
        <v>45</v>
      </c>
      <c r="D37" s="25" t="s">
        <v>46</v>
      </c>
      <c r="E37" s="25" t="s">
        <v>47</v>
      </c>
      <c r="F37" s="26" t="s">
        <v>182</v>
      </c>
      <c r="G37" s="25" t="s">
        <v>49</v>
      </c>
      <c r="H37" s="25" t="s">
        <v>50</v>
      </c>
      <c r="I37" s="24" t="s">
        <v>51</v>
      </c>
      <c r="J37" s="24" t="s">
        <v>52</v>
      </c>
      <c r="K37" s="25" t="s">
        <v>53</v>
      </c>
      <c r="L37" s="27" t="s">
        <v>54</v>
      </c>
      <c r="M37" s="24" t="s">
        <v>55</v>
      </c>
      <c r="N37" s="24" t="s">
        <v>56</v>
      </c>
      <c r="O37" s="24" t="s">
        <v>57</v>
      </c>
      <c r="P37" s="24" t="s">
        <v>58</v>
      </c>
      <c r="Q37" s="24" t="s">
        <v>52</v>
      </c>
      <c r="R37" s="24" t="s">
        <v>59</v>
      </c>
      <c r="S37" s="24" t="s">
        <v>60</v>
      </c>
      <c r="T37" s="24" t="s">
        <v>61</v>
      </c>
      <c r="U37" s="28" t="s">
        <v>52</v>
      </c>
      <c r="V37" s="18" t="s">
        <v>95</v>
      </c>
      <c r="W37" s="18" t="s">
        <v>139</v>
      </c>
      <c r="X37" s="18" t="s">
        <v>52</v>
      </c>
      <c r="Y37" s="19" t="s">
        <v>64</v>
      </c>
      <c r="Z37" s="24" t="s">
        <v>65</v>
      </c>
      <c r="AA37" s="24" t="s">
        <v>197</v>
      </c>
      <c r="AB37" s="24" t="s">
        <v>97</v>
      </c>
      <c r="AC37" s="24" t="s">
        <v>198</v>
      </c>
      <c r="AD37" s="24" t="s">
        <v>142</v>
      </c>
      <c r="AE37" s="29" t="s">
        <v>112</v>
      </c>
      <c r="AF37" s="21" t="s">
        <v>70</v>
      </c>
      <c r="AG37" s="24" t="s">
        <v>71</v>
      </c>
      <c r="AH37" s="24" t="s">
        <v>72</v>
      </c>
      <c r="AI37" s="22" t="s">
        <v>73</v>
      </c>
      <c r="AJ37" s="23" t="s">
        <v>73</v>
      </c>
    </row>
    <row r="38" spans="1:36" ht="16" customHeight="1" x14ac:dyDescent="0.2">
      <c r="A38" s="24" t="s">
        <v>200</v>
      </c>
      <c r="B38" s="25" t="s">
        <v>44</v>
      </c>
      <c r="C38" s="25" t="s">
        <v>45</v>
      </c>
      <c r="D38" s="25" t="s">
        <v>46</v>
      </c>
      <c r="E38" s="25" t="s">
        <v>47</v>
      </c>
      <c r="F38" s="26" t="s">
        <v>182</v>
      </c>
      <c r="G38" s="25" t="s">
        <v>49</v>
      </c>
      <c r="H38" s="25" t="s">
        <v>50</v>
      </c>
      <c r="I38" s="24" t="s">
        <v>51</v>
      </c>
      <c r="J38" s="24" t="s">
        <v>52</v>
      </c>
      <c r="K38" s="25" t="s">
        <v>53</v>
      </c>
      <c r="L38" s="27" t="s">
        <v>54</v>
      </c>
      <c r="M38" s="24" t="s">
        <v>55</v>
      </c>
      <c r="N38" s="24" t="s">
        <v>56</v>
      </c>
      <c r="O38" s="24" t="s">
        <v>57</v>
      </c>
      <c r="P38" s="24" t="s">
        <v>58</v>
      </c>
      <c r="Q38" s="24" t="s">
        <v>52</v>
      </c>
      <c r="R38" s="24" t="s">
        <v>59</v>
      </c>
      <c r="S38" s="24" t="s">
        <v>60</v>
      </c>
      <c r="T38" s="24" t="s">
        <v>61</v>
      </c>
      <c r="U38" s="28" t="s">
        <v>52</v>
      </c>
      <c r="V38" s="18" t="s">
        <v>95</v>
      </c>
      <c r="W38" s="18" t="s">
        <v>144</v>
      </c>
      <c r="X38" s="18" t="s">
        <v>52</v>
      </c>
      <c r="Y38" s="19" t="s">
        <v>64</v>
      </c>
      <c r="Z38" s="24" t="s">
        <v>65</v>
      </c>
      <c r="AA38" s="24" t="s">
        <v>197</v>
      </c>
      <c r="AB38" s="24" t="s">
        <v>97</v>
      </c>
      <c r="AC38" s="24" t="s">
        <v>198</v>
      </c>
      <c r="AD38" s="24" t="s">
        <v>147</v>
      </c>
      <c r="AE38" s="29" t="s">
        <v>112</v>
      </c>
      <c r="AF38" s="21" t="s">
        <v>70</v>
      </c>
      <c r="AG38" s="24" t="s">
        <v>71</v>
      </c>
      <c r="AH38" s="24" t="s">
        <v>72</v>
      </c>
      <c r="AI38" s="22" t="s">
        <v>73</v>
      </c>
      <c r="AJ38" s="23" t="s">
        <v>73</v>
      </c>
    </row>
    <row r="39" spans="1:36" ht="16" customHeight="1" x14ac:dyDescent="0.2">
      <c r="A39" s="24" t="s">
        <v>201</v>
      </c>
      <c r="B39" s="25" t="s">
        <v>44</v>
      </c>
      <c r="C39" s="25" t="s">
        <v>45</v>
      </c>
      <c r="D39" s="25" t="s">
        <v>46</v>
      </c>
      <c r="E39" s="25" t="s">
        <v>47</v>
      </c>
      <c r="F39" s="26" t="s">
        <v>182</v>
      </c>
      <c r="G39" s="25" t="s">
        <v>49</v>
      </c>
      <c r="H39" s="25" t="s">
        <v>50</v>
      </c>
      <c r="I39" s="24" t="s">
        <v>51</v>
      </c>
      <c r="J39" s="24" t="s">
        <v>52</v>
      </c>
      <c r="K39" s="25" t="s">
        <v>53</v>
      </c>
      <c r="L39" s="27" t="s">
        <v>54</v>
      </c>
      <c r="M39" s="24" t="s">
        <v>55</v>
      </c>
      <c r="N39" s="24" t="s">
        <v>56</v>
      </c>
      <c r="O39" s="24" t="s">
        <v>57</v>
      </c>
      <c r="P39" s="24" t="s">
        <v>58</v>
      </c>
      <c r="Q39" s="24" t="s">
        <v>52</v>
      </c>
      <c r="R39" s="24" t="s">
        <v>59</v>
      </c>
      <c r="S39" s="24" t="s">
        <v>60</v>
      </c>
      <c r="T39" s="24" t="s">
        <v>61</v>
      </c>
      <c r="U39" s="28" t="s">
        <v>52</v>
      </c>
      <c r="V39" s="18" t="s">
        <v>95</v>
      </c>
      <c r="W39" s="18" t="s">
        <v>149</v>
      </c>
      <c r="X39" s="18" t="s">
        <v>52</v>
      </c>
      <c r="Y39" s="19" t="s">
        <v>64</v>
      </c>
      <c r="Z39" s="24" t="s">
        <v>65</v>
      </c>
      <c r="AA39" s="24" t="s">
        <v>197</v>
      </c>
      <c r="AB39" s="24" t="s">
        <v>97</v>
      </c>
      <c r="AC39" s="24" t="s">
        <v>198</v>
      </c>
      <c r="AD39" s="24" t="s">
        <v>152</v>
      </c>
      <c r="AE39" s="29" t="s">
        <v>112</v>
      </c>
      <c r="AF39" s="21" t="s">
        <v>70</v>
      </c>
      <c r="AG39" s="24" t="s">
        <v>71</v>
      </c>
      <c r="AH39" s="24" t="s">
        <v>72</v>
      </c>
      <c r="AI39" s="22" t="s">
        <v>73</v>
      </c>
      <c r="AJ39" s="23" t="s">
        <v>73</v>
      </c>
    </row>
    <row r="40" spans="1:36" ht="16" customHeight="1" x14ac:dyDescent="0.2">
      <c r="A40" s="30" t="s">
        <v>202</v>
      </c>
      <c r="B40" s="31" t="s">
        <v>203</v>
      </c>
      <c r="C40" s="31" t="s">
        <v>204</v>
      </c>
      <c r="D40" s="31" t="s">
        <v>46</v>
      </c>
      <c r="E40" s="31" t="s">
        <v>205</v>
      </c>
      <c r="F40" s="32" t="s">
        <v>206</v>
      </c>
      <c r="G40" s="31" t="s">
        <v>49</v>
      </c>
      <c r="H40" s="31" t="s">
        <v>207</v>
      </c>
      <c r="I40" s="30" t="s">
        <v>64</v>
      </c>
      <c r="J40" s="30" t="s">
        <v>64</v>
      </c>
      <c r="K40" s="31" t="s">
        <v>208</v>
      </c>
      <c r="L40" s="33" t="s">
        <v>209</v>
      </c>
      <c r="M40" s="30" t="s">
        <v>210</v>
      </c>
      <c r="N40" s="30" t="s">
        <v>211</v>
      </c>
      <c r="O40" s="30" t="s">
        <v>64</v>
      </c>
      <c r="P40" s="30" t="s">
        <v>212</v>
      </c>
      <c r="Q40" s="30" t="s">
        <v>64</v>
      </c>
      <c r="R40" s="30" t="s">
        <v>213</v>
      </c>
      <c r="S40" s="30" t="s">
        <v>214</v>
      </c>
      <c r="T40" s="30" t="s">
        <v>215</v>
      </c>
      <c r="U40" s="34" t="s">
        <v>52</v>
      </c>
      <c r="V40" s="18" t="s">
        <v>216</v>
      </c>
      <c r="W40" s="18" t="s">
        <v>63</v>
      </c>
      <c r="X40" s="18" t="s">
        <v>52</v>
      </c>
      <c r="Y40" s="19" t="s">
        <v>64</v>
      </c>
      <c r="Z40" s="30" t="s">
        <v>217</v>
      </c>
      <c r="AA40" s="30" t="s">
        <v>218</v>
      </c>
      <c r="AB40" s="30" t="s">
        <v>217</v>
      </c>
      <c r="AC40" s="30" t="s">
        <v>218</v>
      </c>
      <c r="AD40" s="35" t="s">
        <v>219</v>
      </c>
      <c r="AE40" s="36" t="s">
        <v>219</v>
      </c>
      <c r="AF40" s="21" t="s">
        <v>220</v>
      </c>
      <c r="AG40" s="30" t="s">
        <v>221</v>
      </c>
      <c r="AH40" s="30" t="s">
        <v>222</v>
      </c>
      <c r="AI40" s="35" t="s">
        <v>219</v>
      </c>
      <c r="AJ40" s="37" t="s">
        <v>219</v>
      </c>
    </row>
    <row r="41" spans="1:36" ht="16" customHeight="1" x14ac:dyDescent="0.2">
      <c r="A41" s="38" t="s">
        <v>223</v>
      </c>
      <c r="B41" s="39" t="s">
        <v>224</v>
      </c>
      <c r="C41" s="39" t="s">
        <v>225</v>
      </c>
      <c r="D41" s="39" t="s">
        <v>46</v>
      </c>
      <c r="E41" s="39" t="s">
        <v>205</v>
      </c>
      <c r="F41" s="40" t="s">
        <v>206</v>
      </c>
      <c r="G41" s="39" t="s">
        <v>49</v>
      </c>
      <c r="H41" s="39" t="s">
        <v>50</v>
      </c>
      <c r="I41" s="38" t="s">
        <v>51</v>
      </c>
      <c r="J41" s="38" t="s">
        <v>64</v>
      </c>
      <c r="K41" s="39" t="s">
        <v>226</v>
      </c>
      <c r="L41" s="41" t="s">
        <v>54</v>
      </c>
      <c r="M41" s="38" t="s">
        <v>227</v>
      </c>
      <c r="N41" s="38" t="s">
        <v>56</v>
      </c>
      <c r="O41" s="38" t="s">
        <v>57</v>
      </c>
      <c r="P41" s="38" t="s">
        <v>58</v>
      </c>
      <c r="Q41" s="38" t="s">
        <v>64</v>
      </c>
      <c r="R41" s="38" t="s">
        <v>213</v>
      </c>
      <c r="S41" s="38" t="s">
        <v>214</v>
      </c>
      <c r="T41" s="38" t="s">
        <v>51</v>
      </c>
      <c r="U41" s="42" t="s">
        <v>52</v>
      </c>
      <c r="V41" s="18" t="s">
        <v>216</v>
      </c>
      <c r="W41" s="18" t="s">
        <v>63</v>
      </c>
      <c r="X41" s="18" t="s">
        <v>52</v>
      </c>
      <c r="Y41" s="19" t="s">
        <v>64</v>
      </c>
      <c r="Z41" s="38" t="s">
        <v>228</v>
      </c>
      <c r="AA41" s="38" t="s">
        <v>229</v>
      </c>
      <c r="AB41" s="38" t="s">
        <v>230</v>
      </c>
      <c r="AC41" s="38" t="s">
        <v>231</v>
      </c>
      <c r="AD41" s="43" t="s">
        <v>219</v>
      </c>
      <c r="AE41" s="44" t="s">
        <v>219</v>
      </c>
      <c r="AF41" s="21" t="s">
        <v>232</v>
      </c>
      <c r="AG41" s="38" t="s">
        <v>233</v>
      </c>
      <c r="AH41" s="38" t="s">
        <v>227</v>
      </c>
      <c r="AI41" s="43" t="s">
        <v>219</v>
      </c>
      <c r="AJ41" s="45" t="s">
        <v>219</v>
      </c>
    </row>
    <row r="42" spans="1:36" ht="16" customHeight="1" x14ac:dyDescent="0.2">
      <c r="A42" s="30" t="s">
        <v>234</v>
      </c>
      <c r="B42" s="31" t="s">
        <v>235</v>
      </c>
      <c r="C42" s="31" t="s">
        <v>236</v>
      </c>
      <c r="D42" s="31" t="s">
        <v>46</v>
      </c>
      <c r="E42" s="31" t="s">
        <v>47</v>
      </c>
      <c r="F42" s="32" t="s">
        <v>206</v>
      </c>
      <c r="G42" s="31" t="s">
        <v>49</v>
      </c>
      <c r="H42" s="31" t="s">
        <v>50</v>
      </c>
      <c r="I42" s="30" t="s">
        <v>51</v>
      </c>
      <c r="J42" s="30" t="s">
        <v>64</v>
      </c>
      <c r="K42" s="31" t="s">
        <v>237</v>
      </c>
      <c r="L42" s="33" t="s">
        <v>54</v>
      </c>
      <c r="M42" s="30" t="s">
        <v>238</v>
      </c>
      <c r="N42" s="30" t="s">
        <v>56</v>
      </c>
      <c r="O42" s="30" t="s">
        <v>57</v>
      </c>
      <c r="P42" s="30" t="s">
        <v>58</v>
      </c>
      <c r="Q42" s="30" t="s">
        <v>64</v>
      </c>
      <c r="R42" s="30" t="s">
        <v>213</v>
      </c>
      <c r="S42" s="30" t="s">
        <v>214</v>
      </c>
      <c r="T42" s="30" t="s">
        <v>239</v>
      </c>
      <c r="U42" s="34" t="s">
        <v>52</v>
      </c>
      <c r="V42" s="18" t="s">
        <v>87</v>
      </c>
      <c r="W42" s="18" t="s">
        <v>63</v>
      </c>
      <c r="X42" s="18" t="s">
        <v>52</v>
      </c>
      <c r="Y42" s="19" t="s">
        <v>64</v>
      </c>
      <c r="Z42" s="30" t="s">
        <v>240</v>
      </c>
      <c r="AA42" s="30" t="s">
        <v>241</v>
      </c>
      <c r="AB42" s="30" t="s">
        <v>242</v>
      </c>
      <c r="AC42" s="30" t="s">
        <v>243</v>
      </c>
      <c r="AD42" s="30" t="s">
        <v>244</v>
      </c>
      <c r="AE42" s="46" t="s">
        <v>245</v>
      </c>
      <c r="AF42" s="35" t="s">
        <v>219</v>
      </c>
      <c r="AG42" s="30" t="s">
        <v>246</v>
      </c>
      <c r="AH42" s="21" t="s">
        <v>247</v>
      </c>
      <c r="AI42" s="35" t="s">
        <v>219</v>
      </c>
      <c r="AJ42" s="37" t="s">
        <v>219</v>
      </c>
    </row>
    <row r="43" spans="1:36" ht="16" customHeight="1" x14ac:dyDescent="0.2">
      <c r="A43" s="38" t="s">
        <v>248</v>
      </c>
      <c r="B43" s="39" t="s">
        <v>249</v>
      </c>
      <c r="C43" s="47" t="s">
        <v>250</v>
      </c>
      <c r="D43" s="39" t="s">
        <v>46</v>
      </c>
      <c r="E43" s="39" t="s">
        <v>251</v>
      </c>
      <c r="F43" s="48" t="s">
        <v>252</v>
      </c>
      <c r="G43" s="39" t="s">
        <v>49</v>
      </c>
      <c r="H43" s="39" t="s">
        <v>50</v>
      </c>
      <c r="I43" s="38" t="s">
        <v>51</v>
      </c>
      <c r="J43" s="38" t="s">
        <v>213</v>
      </c>
      <c r="K43" s="49" t="s">
        <v>253</v>
      </c>
      <c r="L43" s="41" t="s">
        <v>54</v>
      </c>
      <c r="M43" s="38" t="s">
        <v>254</v>
      </c>
      <c r="N43" s="38" t="s">
        <v>56</v>
      </c>
      <c r="O43" s="38" t="s">
        <v>57</v>
      </c>
      <c r="P43" s="38" t="s">
        <v>58</v>
      </c>
      <c r="Q43" s="38" t="s">
        <v>213</v>
      </c>
      <c r="R43" s="38" t="s">
        <v>215</v>
      </c>
      <c r="S43" s="38" t="s">
        <v>255</v>
      </c>
      <c r="T43" s="38" t="s">
        <v>256</v>
      </c>
      <c r="U43" s="42" t="s">
        <v>52</v>
      </c>
      <c r="V43" s="22" t="s">
        <v>73</v>
      </c>
      <c r="W43" s="22" t="s">
        <v>73</v>
      </c>
      <c r="X43" s="18" t="s">
        <v>52</v>
      </c>
      <c r="Y43" s="50" t="s">
        <v>73</v>
      </c>
      <c r="Z43" s="22" t="s">
        <v>73</v>
      </c>
      <c r="AA43" s="22" t="s">
        <v>73</v>
      </c>
      <c r="AB43" s="22" t="s">
        <v>73</v>
      </c>
      <c r="AC43" s="22" t="s">
        <v>73</v>
      </c>
      <c r="AD43" s="22" t="s">
        <v>73</v>
      </c>
      <c r="AE43" s="51" t="s">
        <v>73</v>
      </c>
      <c r="AF43" s="22" t="s">
        <v>73</v>
      </c>
      <c r="AG43" s="22" t="s">
        <v>73</v>
      </c>
      <c r="AH43" s="22" t="s">
        <v>73</v>
      </c>
      <c r="AI43" s="22" t="s">
        <v>73</v>
      </c>
      <c r="AJ43" s="23" t="s">
        <v>73</v>
      </c>
    </row>
    <row r="44" spans="1:36" ht="16" customHeight="1" x14ac:dyDescent="0.2">
      <c r="A44" s="30" t="s">
        <v>257</v>
      </c>
      <c r="B44" s="31" t="s">
        <v>258</v>
      </c>
      <c r="C44" s="31" t="s">
        <v>259</v>
      </c>
      <c r="D44" s="31" t="s">
        <v>46</v>
      </c>
      <c r="E44" s="31" t="s">
        <v>260</v>
      </c>
      <c r="F44" s="32" t="s">
        <v>206</v>
      </c>
      <c r="G44" s="31" t="s">
        <v>261</v>
      </c>
      <c r="H44" s="52" t="s">
        <v>219</v>
      </c>
      <c r="I44" s="30" t="s">
        <v>262</v>
      </c>
      <c r="J44" s="30" t="s">
        <v>52</v>
      </c>
      <c r="K44" s="31" t="s">
        <v>263</v>
      </c>
      <c r="L44" s="53" t="s">
        <v>219</v>
      </c>
      <c r="M44" s="30" t="s">
        <v>264</v>
      </c>
      <c r="N44" s="35" t="s">
        <v>219</v>
      </c>
      <c r="O44" s="30" t="s">
        <v>265</v>
      </c>
      <c r="P44" s="35" t="s">
        <v>219</v>
      </c>
      <c r="Q44" s="30" t="s">
        <v>52</v>
      </c>
      <c r="R44" s="30" t="s">
        <v>213</v>
      </c>
      <c r="S44" s="30" t="s">
        <v>266</v>
      </c>
      <c r="T44" s="30" t="s">
        <v>265</v>
      </c>
      <c r="U44" s="34" t="s">
        <v>64</v>
      </c>
      <c r="V44" s="18" t="s">
        <v>216</v>
      </c>
      <c r="W44" s="18" t="s">
        <v>63</v>
      </c>
      <c r="X44" s="18" t="s">
        <v>52</v>
      </c>
      <c r="Y44" s="19" t="s">
        <v>64</v>
      </c>
      <c r="Z44" s="30" t="s">
        <v>267</v>
      </c>
      <c r="AA44" s="30" t="s">
        <v>268</v>
      </c>
      <c r="AB44" s="30" t="s">
        <v>269</v>
      </c>
      <c r="AC44" s="30" t="s">
        <v>270</v>
      </c>
      <c r="AD44" s="35" t="s">
        <v>219</v>
      </c>
      <c r="AE44" s="36" t="s">
        <v>219</v>
      </c>
      <c r="AF44" s="21" t="s">
        <v>70</v>
      </c>
      <c r="AG44" s="30" t="s">
        <v>271</v>
      </c>
      <c r="AH44" s="30" t="s">
        <v>272</v>
      </c>
      <c r="AI44" s="35" t="s">
        <v>219</v>
      </c>
      <c r="AJ44" s="23" t="s">
        <v>73</v>
      </c>
    </row>
    <row r="45" spans="1:36" ht="16" customHeight="1" x14ac:dyDescent="0.2">
      <c r="A45" s="38" t="s">
        <v>273</v>
      </c>
      <c r="B45" s="39" t="s">
        <v>274</v>
      </c>
      <c r="C45" s="39" t="s">
        <v>259</v>
      </c>
      <c r="D45" s="39" t="s">
        <v>46</v>
      </c>
      <c r="E45" s="39" t="s">
        <v>260</v>
      </c>
      <c r="F45" s="40" t="s">
        <v>206</v>
      </c>
      <c r="G45" s="39" t="s">
        <v>261</v>
      </c>
      <c r="H45" s="54" t="s">
        <v>219</v>
      </c>
      <c r="I45" s="38" t="s">
        <v>262</v>
      </c>
      <c r="J45" s="38" t="s">
        <v>213</v>
      </c>
      <c r="K45" s="39" t="s">
        <v>275</v>
      </c>
      <c r="L45" s="55" t="s">
        <v>219</v>
      </c>
      <c r="M45" s="38" t="s">
        <v>264</v>
      </c>
      <c r="N45" s="43" t="s">
        <v>219</v>
      </c>
      <c r="O45" s="38" t="s">
        <v>265</v>
      </c>
      <c r="P45" s="43" t="s">
        <v>219</v>
      </c>
      <c r="Q45" s="38" t="s">
        <v>213</v>
      </c>
      <c r="R45" s="38" t="s">
        <v>215</v>
      </c>
      <c r="S45" s="38" t="s">
        <v>276</v>
      </c>
      <c r="T45" s="38" t="s">
        <v>265</v>
      </c>
      <c r="U45" s="42" t="s">
        <v>64</v>
      </c>
      <c r="V45" s="18" t="s">
        <v>216</v>
      </c>
      <c r="W45" s="18" t="s">
        <v>63</v>
      </c>
      <c r="X45" s="18" t="s">
        <v>52</v>
      </c>
      <c r="Y45" s="19" t="s">
        <v>64</v>
      </c>
      <c r="Z45" s="38" t="s">
        <v>267</v>
      </c>
      <c r="AA45" s="38" t="s">
        <v>268</v>
      </c>
      <c r="AB45" s="38" t="s">
        <v>269</v>
      </c>
      <c r="AC45" s="38" t="s">
        <v>270</v>
      </c>
      <c r="AD45" s="43" t="s">
        <v>219</v>
      </c>
      <c r="AE45" s="44" t="s">
        <v>219</v>
      </c>
      <c r="AF45" s="21" t="s">
        <v>70</v>
      </c>
      <c r="AG45" s="38" t="s">
        <v>277</v>
      </c>
      <c r="AH45" s="38" t="s">
        <v>272</v>
      </c>
      <c r="AI45" s="43" t="s">
        <v>219</v>
      </c>
      <c r="AJ45" s="45" t="s">
        <v>219</v>
      </c>
    </row>
    <row r="46" spans="1:36" ht="16" customHeight="1" x14ac:dyDescent="0.2">
      <c r="A46" s="30" t="s">
        <v>278</v>
      </c>
      <c r="B46" s="31" t="s">
        <v>279</v>
      </c>
      <c r="C46" s="31" t="s">
        <v>280</v>
      </c>
      <c r="D46" s="31" t="s">
        <v>281</v>
      </c>
      <c r="E46" s="52" t="s">
        <v>219</v>
      </c>
      <c r="F46" s="32" t="s">
        <v>282</v>
      </c>
      <c r="G46" s="31" t="s">
        <v>49</v>
      </c>
      <c r="H46" s="31" t="s">
        <v>283</v>
      </c>
      <c r="I46" s="30" t="s">
        <v>64</v>
      </c>
      <c r="J46" s="30" t="s">
        <v>64</v>
      </c>
      <c r="K46" s="31" t="s">
        <v>284</v>
      </c>
      <c r="L46" s="33" t="s">
        <v>285</v>
      </c>
      <c r="M46" s="30" t="s">
        <v>286</v>
      </c>
      <c r="N46" s="30" t="s">
        <v>287</v>
      </c>
      <c r="O46" s="30" t="s">
        <v>64</v>
      </c>
      <c r="P46" s="30" t="s">
        <v>215</v>
      </c>
      <c r="Q46" s="30" t="s">
        <v>64</v>
      </c>
      <c r="R46" s="30" t="s">
        <v>213</v>
      </c>
      <c r="S46" s="30" t="s">
        <v>214</v>
      </c>
      <c r="T46" s="30" t="s">
        <v>213</v>
      </c>
      <c r="U46" s="34" t="s">
        <v>52</v>
      </c>
      <c r="V46" s="35" t="s">
        <v>219</v>
      </c>
      <c r="W46" s="35" t="s">
        <v>219</v>
      </c>
      <c r="X46" s="35" t="s">
        <v>219</v>
      </c>
      <c r="Y46" s="56" t="s">
        <v>219</v>
      </c>
      <c r="Z46" s="35" t="s">
        <v>219</v>
      </c>
      <c r="AA46" s="35" t="s">
        <v>219</v>
      </c>
      <c r="AB46" s="35" t="s">
        <v>219</v>
      </c>
      <c r="AC46" s="35" t="s">
        <v>219</v>
      </c>
      <c r="AD46" s="35" t="s">
        <v>219</v>
      </c>
      <c r="AE46" s="36" t="s">
        <v>219</v>
      </c>
      <c r="AF46" s="21" t="s">
        <v>288</v>
      </c>
      <c r="AG46" s="30" t="s">
        <v>289</v>
      </c>
      <c r="AH46" s="30" t="s">
        <v>222</v>
      </c>
      <c r="AI46" s="30" t="s">
        <v>290</v>
      </c>
      <c r="AJ46" s="37" t="s">
        <v>219</v>
      </c>
    </row>
    <row r="47" spans="1:36" ht="16" customHeight="1" x14ac:dyDescent="0.2">
      <c r="A47" s="38" t="s">
        <v>291</v>
      </c>
      <c r="B47" s="39" t="s">
        <v>292</v>
      </c>
      <c r="C47" s="39" t="s">
        <v>293</v>
      </c>
      <c r="D47" s="39" t="s">
        <v>281</v>
      </c>
      <c r="E47" s="54" t="s">
        <v>219</v>
      </c>
      <c r="F47" s="40" t="s">
        <v>282</v>
      </c>
      <c r="G47" s="39" t="s">
        <v>49</v>
      </c>
      <c r="H47" s="39" t="s">
        <v>294</v>
      </c>
      <c r="I47" s="38" t="s">
        <v>64</v>
      </c>
      <c r="J47" s="38" t="s">
        <v>64</v>
      </c>
      <c r="K47" s="39" t="s">
        <v>295</v>
      </c>
      <c r="L47" s="41" t="s">
        <v>296</v>
      </c>
      <c r="M47" s="38" t="s">
        <v>210</v>
      </c>
      <c r="N47" s="38" t="s">
        <v>297</v>
      </c>
      <c r="O47" s="38" t="s">
        <v>64</v>
      </c>
      <c r="P47" s="38" t="s">
        <v>51</v>
      </c>
      <c r="Q47" s="38" t="s">
        <v>64</v>
      </c>
      <c r="R47" s="38" t="s">
        <v>213</v>
      </c>
      <c r="S47" s="38" t="s">
        <v>214</v>
      </c>
      <c r="T47" s="38" t="s">
        <v>215</v>
      </c>
      <c r="U47" s="42" t="s">
        <v>52</v>
      </c>
      <c r="V47" s="43" t="s">
        <v>219</v>
      </c>
      <c r="W47" s="43" t="s">
        <v>219</v>
      </c>
      <c r="X47" s="43" t="s">
        <v>219</v>
      </c>
      <c r="Y47" s="57" t="s">
        <v>219</v>
      </c>
      <c r="Z47" s="43" t="s">
        <v>219</v>
      </c>
      <c r="AA47" s="43" t="s">
        <v>219</v>
      </c>
      <c r="AB47" s="43" t="s">
        <v>219</v>
      </c>
      <c r="AC47" s="43" t="s">
        <v>219</v>
      </c>
      <c r="AD47" s="43" t="s">
        <v>219</v>
      </c>
      <c r="AE47" s="44" t="s">
        <v>219</v>
      </c>
      <c r="AF47" s="21" t="s">
        <v>298</v>
      </c>
      <c r="AG47" s="38" t="s">
        <v>299</v>
      </c>
      <c r="AH47" s="38" t="s">
        <v>300</v>
      </c>
      <c r="AI47" s="38" t="s">
        <v>301</v>
      </c>
      <c r="AJ47" s="45" t="s">
        <v>219</v>
      </c>
    </row>
    <row r="48" spans="1:36" ht="16" customHeight="1" x14ac:dyDescent="0.2">
      <c r="A48" s="30" t="s">
        <v>302</v>
      </c>
      <c r="B48" s="31" t="s">
        <v>303</v>
      </c>
      <c r="C48" s="31" t="s">
        <v>280</v>
      </c>
      <c r="D48" s="31" t="s">
        <v>281</v>
      </c>
      <c r="E48" s="52" t="s">
        <v>219</v>
      </c>
      <c r="F48" s="32" t="s">
        <v>282</v>
      </c>
      <c r="G48" s="31" t="s">
        <v>49</v>
      </c>
      <c r="H48" s="31" t="s">
        <v>304</v>
      </c>
      <c r="I48" s="30" t="s">
        <v>64</v>
      </c>
      <c r="J48" s="30" t="s">
        <v>64</v>
      </c>
      <c r="K48" s="31" t="s">
        <v>295</v>
      </c>
      <c r="L48" s="33" t="s">
        <v>305</v>
      </c>
      <c r="M48" s="30" t="s">
        <v>210</v>
      </c>
      <c r="N48" s="30" t="s">
        <v>306</v>
      </c>
      <c r="O48" s="30" t="s">
        <v>64</v>
      </c>
      <c r="P48" s="30" t="s">
        <v>51</v>
      </c>
      <c r="Q48" s="30" t="s">
        <v>64</v>
      </c>
      <c r="R48" s="30" t="s">
        <v>213</v>
      </c>
      <c r="S48" s="30" t="s">
        <v>214</v>
      </c>
      <c r="T48" s="30" t="s">
        <v>215</v>
      </c>
      <c r="U48" s="34" t="s">
        <v>52</v>
      </c>
      <c r="V48" s="35" t="s">
        <v>219</v>
      </c>
      <c r="W48" s="35" t="s">
        <v>219</v>
      </c>
      <c r="X48" s="35" t="s">
        <v>219</v>
      </c>
      <c r="Y48" s="56" t="s">
        <v>219</v>
      </c>
      <c r="Z48" s="35" t="s">
        <v>219</v>
      </c>
      <c r="AA48" s="35" t="s">
        <v>219</v>
      </c>
      <c r="AB48" s="35" t="s">
        <v>219</v>
      </c>
      <c r="AC48" s="35" t="s">
        <v>219</v>
      </c>
      <c r="AD48" s="35" t="s">
        <v>219</v>
      </c>
      <c r="AE48" s="36" t="s">
        <v>219</v>
      </c>
      <c r="AF48" s="21" t="s">
        <v>288</v>
      </c>
      <c r="AG48" s="30" t="s">
        <v>307</v>
      </c>
      <c r="AH48" s="30" t="s">
        <v>308</v>
      </c>
      <c r="AI48" s="30" t="s">
        <v>309</v>
      </c>
      <c r="AJ48" s="37" t="s">
        <v>219</v>
      </c>
    </row>
    <row r="49" spans="1:36" ht="16" customHeight="1" x14ac:dyDescent="0.2">
      <c r="A49" s="38" t="s">
        <v>310</v>
      </c>
      <c r="B49" s="39" t="s">
        <v>311</v>
      </c>
      <c r="C49" s="39" t="s">
        <v>312</v>
      </c>
      <c r="D49" s="39" t="s">
        <v>281</v>
      </c>
      <c r="E49" s="54" t="s">
        <v>219</v>
      </c>
      <c r="F49" s="40" t="s">
        <v>282</v>
      </c>
      <c r="G49" s="39" t="s">
        <v>49</v>
      </c>
      <c r="H49" s="39" t="s">
        <v>294</v>
      </c>
      <c r="I49" s="38" t="s">
        <v>64</v>
      </c>
      <c r="J49" s="38" t="s">
        <v>64</v>
      </c>
      <c r="K49" s="39" t="s">
        <v>313</v>
      </c>
      <c r="L49" s="41" t="s">
        <v>296</v>
      </c>
      <c r="M49" s="38" t="s">
        <v>314</v>
      </c>
      <c r="N49" s="38" t="s">
        <v>297</v>
      </c>
      <c r="O49" s="38" t="s">
        <v>64</v>
      </c>
      <c r="P49" s="38" t="s">
        <v>51</v>
      </c>
      <c r="Q49" s="38" t="s">
        <v>64</v>
      </c>
      <c r="R49" s="38" t="s">
        <v>213</v>
      </c>
      <c r="S49" s="38" t="s">
        <v>214</v>
      </c>
      <c r="T49" s="38" t="s">
        <v>51</v>
      </c>
      <c r="U49" s="42" t="s">
        <v>52</v>
      </c>
      <c r="V49" s="43" t="s">
        <v>219</v>
      </c>
      <c r="W49" s="43" t="s">
        <v>219</v>
      </c>
      <c r="X49" s="43" t="s">
        <v>219</v>
      </c>
      <c r="Y49" s="57" t="s">
        <v>219</v>
      </c>
      <c r="Z49" s="43" t="s">
        <v>219</v>
      </c>
      <c r="AA49" s="43" t="s">
        <v>219</v>
      </c>
      <c r="AB49" s="43" t="s">
        <v>219</v>
      </c>
      <c r="AC49" s="43" t="s">
        <v>219</v>
      </c>
      <c r="AD49" s="43" t="s">
        <v>219</v>
      </c>
      <c r="AE49" s="44" t="s">
        <v>219</v>
      </c>
      <c r="AF49" s="21" t="s">
        <v>298</v>
      </c>
      <c r="AG49" s="38" t="s">
        <v>315</v>
      </c>
      <c r="AH49" s="38" t="s">
        <v>254</v>
      </c>
      <c r="AI49" s="38" t="s">
        <v>316</v>
      </c>
      <c r="AJ49" s="45" t="s">
        <v>219</v>
      </c>
    </row>
    <row r="50" spans="1:36" ht="16" customHeight="1" x14ac:dyDescent="0.2">
      <c r="A50" s="30" t="s">
        <v>317</v>
      </c>
      <c r="B50" s="31" t="s">
        <v>318</v>
      </c>
      <c r="C50" s="31" t="s">
        <v>293</v>
      </c>
      <c r="D50" s="31" t="s">
        <v>281</v>
      </c>
      <c r="E50" s="52" t="s">
        <v>219</v>
      </c>
      <c r="F50" s="32" t="s">
        <v>282</v>
      </c>
      <c r="G50" s="31" t="s">
        <v>319</v>
      </c>
      <c r="H50" s="31" t="s">
        <v>294</v>
      </c>
      <c r="I50" s="30" t="s">
        <v>64</v>
      </c>
      <c r="J50" s="30" t="s">
        <v>64</v>
      </c>
      <c r="K50" s="31" t="s">
        <v>320</v>
      </c>
      <c r="L50" s="33" t="s">
        <v>296</v>
      </c>
      <c r="M50" s="30" t="s">
        <v>321</v>
      </c>
      <c r="N50" s="30" t="s">
        <v>297</v>
      </c>
      <c r="O50" s="30" t="s">
        <v>64</v>
      </c>
      <c r="P50" s="30" t="s">
        <v>51</v>
      </c>
      <c r="Q50" s="30" t="s">
        <v>64</v>
      </c>
      <c r="R50" s="30" t="s">
        <v>64</v>
      </c>
      <c r="S50" s="30" t="s">
        <v>64</v>
      </c>
      <c r="T50" s="30" t="s">
        <v>322</v>
      </c>
      <c r="U50" s="34" t="s">
        <v>64</v>
      </c>
      <c r="V50" s="35" t="s">
        <v>219</v>
      </c>
      <c r="W50" s="35" t="s">
        <v>219</v>
      </c>
      <c r="X50" s="35" t="s">
        <v>219</v>
      </c>
      <c r="Y50" s="56" t="s">
        <v>219</v>
      </c>
      <c r="Z50" s="35" t="s">
        <v>219</v>
      </c>
      <c r="AA50" s="35" t="s">
        <v>219</v>
      </c>
      <c r="AB50" s="35" t="s">
        <v>219</v>
      </c>
      <c r="AC50" s="35" t="s">
        <v>219</v>
      </c>
      <c r="AD50" s="35" t="s">
        <v>219</v>
      </c>
      <c r="AE50" s="36" t="s">
        <v>219</v>
      </c>
      <c r="AF50" s="21" t="s">
        <v>298</v>
      </c>
      <c r="AG50" s="30" t="s">
        <v>68</v>
      </c>
      <c r="AH50" s="30" t="s">
        <v>323</v>
      </c>
      <c r="AI50" s="30" t="s">
        <v>238</v>
      </c>
      <c r="AJ50" s="37" t="s">
        <v>219</v>
      </c>
    </row>
    <row r="51" spans="1:36" ht="16" customHeight="1" x14ac:dyDescent="0.2">
      <c r="A51" s="38" t="s">
        <v>324</v>
      </c>
      <c r="B51" s="39" t="s">
        <v>325</v>
      </c>
      <c r="C51" s="39" t="s">
        <v>293</v>
      </c>
      <c r="D51" s="39" t="s">
        <v>281</v>
      </c>
      <c r="E51" s="54" t="s">
        <v>219</v>
      </c>
      <c r="F51" s="40" t="s">
        <v>282</v>
      </c>
      <c r="G51" s="39" t="s">
        <v>326</v>
      </c>
      <c r="H51" s="39" t="s">
        <v>294</v>
      </c>
      <c r="I51" s="38" t="s">
        <v>64</v>
      </c>
      <c r="J51" s="38" t="s">
        <v>64</v>
      </c>
      <c r="K51" s="39" t="s">
        <v>327</v>
      </c>
      <c r="L51" s="41" t="s">
        <v>296</v>
      </c>
      <c r="M51" s="38" t="s">
        <v>328</v>
      </c>
      <c r="N51" s="38" t="s">
        <v>297</v>
      </c>
      <c r="O51" s="38" t="s">
        <v>64</v>
      </c>
      <c r="P51" s="38" t="s">
        <v>51</v>
      </c>
      <c r="Q51" s="38" t="s">
        <v>64</v>
      </c>
      <c r="R51" s="38" t="s">
        <v>64</v>
      </c>
      <c r="S51" s="38" t="s">
        <v>64</v>
      </c>
      <c r="T51" s="38" t="s">
        <v>215</v>
      </c>
      <c r="U51" s="42" t="s">
        <v>52</v>
      </c>
      <c r="V51" s="43" t="s">
        <v>219</v>
      </c>
      <c r="W51" s="43" t="s">
        <v>219</v>
      </c>
      <c r="X51" s="43" t="s">
        <v>219</v>
      </c>
      <c r="Y51" s="57" t="s">
        <v>219</v>
      </c>
      <c r="Z51" s="43" t="s">
        <v>219</v>
      </c>
      <c r="AA51" s="43" t="s">
        <v>219</v>
      </c>
      <c r="AB51" s="43" t="s">
        <v>219</v>
      </c>
      <c r="AC51" s="43" t="s">
        <v>219</v>
      </c>
      <c r="AD51" s="43" t="s">
        <v>219</v>
      </c>
      <c r="AE51" s="44" t="s">
        <v>219</v>
      </c>
      <c r="AF51" s="21" t="s">
        <v>298</v>
      </c>
      <c r="AG51" s="38" t="s">
        <v>329</v>
      </c>
      <c r="AH51" s="38" t="s">
        <v>300</v>
      </c>
      <c r="AI51" s="38" t="s">
        <v>330</v>
      </c>
      <c r="AJ51" s="45" t="s">
        <v>219</v>
      </c>
    </row>
    <row r="52" spans="1:36" ht="16" customHeight="1" x14ac:dyDescent="0.2">
      <c r="A52" s="58" t="s">
        <v>331</v>
      </c>
      <c r="B52" s="59" t="s">
        <v>332</v>
      </c>
      <c r="C52" s="59" t="s">
        <v>333</v>
      </c>
      <c r="D52" s="59" t="s">
        <v>281</v>
      </c>
      <c r="E52" s="59" t="s">
        <v>216</v>
      </c>
      <c r="F52" s="60" t="s">
        <v>282</v>
      </c>
      <c r="G52" s="59" t="s">
        <v>334</v>
      </c>
      <c r="H52" s="59" t="s">
        <v>334</v>
      </c>
      <c r="I52" s="58" t="s">
        <v>334</v>
      </c>
      <c r="J52" s="58" t="s">
        <v>334</v>
      </c>
      <c r="K52" s="49" t="s">
        <v>335</v>
      </c>
      <c r="L52" s="61" t="s">
        <v>335</v>
      </c>
      <c r="M52" s="62" t="s">
        <v>336</v>
      </c>
      <c r="N52" s="62" t="s">
        <v>336</v>
      </c>
      <c r="O52" s="62" t="s">
        <v>336</v>
      </c>
      <c r="P52" s="62" t="s">
        <v>336</v>
      </c>
      <c r="Q52" s="62" t="s">
        <v>336</v>
      </c>
      <c r="R52" s="62" t="s">
        <v>336</v>
      </c>
      <c r="S52" s="62" t="s">
        <v>336</v>
      </c>
      <c r="T52" s="62" t="s">
        <v>336</v>
      </c>
      <c r="U52" s="63" t="s">
        <v>336</v>
      </c>
      <c r="V52" s="35" t="s">
        <v>219</v>
      </c>
      <c r="W52" s="35" t="s">
        <v>219</v>
      </c>
      <c r="X52" s="35" t="s">
        <v>219</v>
      </c>
      <c r="Y52" s="56" t="s">
        <v>219</v>
      </c>
      <c r="Z52" s="58" t="s">
        <v>337</v>
      </c>
      <c r="AA52" s="58" t="s">
        <v>337</v>
      </c>
      <c r="AB52" s="35" t="s">
        <v>219</v>
      </c>
      <c r="AC52" s="58" t="s">
        <v>337</v>
      </c>
      <c r="AD52" s="58" t="s">
        <v>337</v>
      </c>
      <c r="AE52" s="64" t="s">
        <v>337</v>
      </c>
      <c r="AF52" s="58" t="s">
        <v>337</v>
      </c>
      <c r="AG52" s="21" t="s">
        <v>338</v>
      </c>
      <c r="AH52" s="21" t="s">
        <v>338</v>
      </c>
      <c r="AI52" s="21" t="s">
        <v>338</v>
      </c>
      <c r="AJ52" s="37" t="s">
        <v>219</v>
      </c>
    </row>
  </sheetData>
  <mergeCells count="7">
    <mergeCell ref="A1:AJ1"/>
    <mergeCell ref="A2:F2"/>
    <mergeCell ref="M2:U2"/>
    <mergeCell ref="G2:L2"/>
    <mergeCell ref="V2:Y2"/>
    <mergeCell ref="AF2:AJ2"/>
    <mergeCell ref="Z2:A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8"/>
  <sheetViews>
    <sheetView topLeftCell="A3" workbookViewId="0">
      <selection sqref="A1:B1"/>
    </sheetView>
  </sheetViews>
  <sheetFormatPr baseColWidth="10" defaultColWidth="8.83203125" defaultRowHeight="15" x14ac:dyDescent="0.2"/>
  <cols>
    <col min="1" max="1" width="26" customWidth="1"/>
    <col min="2" max="2" width="64" customWidth="1"/>
  </cols>
  <sheetData>
    <row r="1" spans="1:2" ht="26" customHeight="1" x14ac:dyDescent="0.2">
      <c r="A1" s="88" t="s">
        <v>339</v>
      </c>
      <c r="B1" s="89"/>
    </row>
    <row r="3" spans="1:2" ht="16" customHeight="1" x14ac:dyDescent="0.2">
      <c r="A3" s="65" t="s">
        <v>340</v>
      </c>
    </row>
    <row r="4" spans="1:2" ht="18" customHeight="1" x14ac:dyDescent="0.2">
      <c r="A4" s="66" t="s">
        <v>1</v>
      </c>
      <c r="B4" s="67" t="s">
        <v>341</v>
      </c>
    </row>
    <row r="5" spans="1:2" ht="18" customHeight="1" x14ac:dyDescent="0.2">
      <c r="A5" s="68" t="s">
        <v>342</v>
      </c>
      <c r="B5" s="67" t="s">
        <v>343</v>
      </c>
    </row>
    <row r="6" spans="1:2" ht="18" customHeight="1" x14ac:dyDescent="0.2">
      <c r="A6" s="69" t="s">
        <v>344</v>
      </c>
      <c r="B6" s="67" t="s">
        <v>345</v>
      </c>
    </row>
    <row r="7" spans="1:2" ht="18" customHeight="1" x14ac:dyDescent="0.2">
      <c r="A7" s="70" t="s">
        <v>4</v>
      </c>
      <c r="B7" s="67" t="s">
        <v>346</v>
      </c>
    </row>
    <row r="8" spans="1:2" ht="18" customHeight="1" x14ac:dyDescent="0.2">
      <c r="A8" s="71" t="s">
        <v>347</v>
      </c>
      <c r="B8" s="67" t="s">
        <v>348</v>
      </c>
    </row>
    <row r="9" spans="1:2" ht="18" customHeight="1" x14ac:dyDescent="0.2">
      <c r="A9" s="72" t="s">
        <v>349</v>
      </c>
      <c r="B9" s="67" t="s">
        <v>350</v>
      </c>
    </row>
    <row r="11" spans="1:2" ht="16" customHeight="1" x14ac:dyDescent="0.2">
      <c r="A11" s="65" t="s">
        <v>351</v>
      </c>
    </row>
    <row r="12" spans="1:2" ht="18" customHeight="1" x14ac:dyDescent="0.2">
      <c r="A12" s="73" t="s">
        <v>352</v>
      </c>
      <c r="B12" s="67" t="s">
        <v>353</v>
      </c>
    </row>
    <row r="13" spans="1:2" ht="18" customHeight="1" x14ac:dyDescent="0.2">
      <c r="A13" s="74" t="s">
        <v>354</v>
      </c>
      <c r="B13" s="67" t="s">
        <v>355</v>
      </c>
    </row>
    <row r="14" spans="1:2" ht="18" customHeight="1" x14ac:dyDescent="0.2">
      <c r="A14" s="75" t="s">
        <v>206</v>
      </c>
      <c r="B14" s="67" t="s">
        <v>356</v>
      </c>
    </row>
    <row r="16" spans="1:2" ht="16" customHeight="1" x14ac:dyDescent="0.2">
      <c r="A16" s="65" t="s">
        <v>357</v>
      </c>
    </row>
    <row r="17" spans="1:2" ht="18" customHeight="1" x14ac:dyDescent="0.2">
      <c r="A17" s="76" t="s">
        <v>358</v>
      </c>
      <c r="B17" s="67" t="s">
        <v>359</v>
      </c>
    </row>
    <row r="18" spans="1:2" ht="18" customHeight="1" x14ac:dyDescent="0.2">
      <c r="A18" s="77" t="s">
        <v>73</v>
      </c>
      <c r="B18" s="67" t="s">
        <v>360</v>
      </c>
    </row>
    <row r="19" spans="1:2" ht="18" customHeight="1" x14ac:dyDescent="0.2">
      <c r="A19" s="78" t="s">
        <v>219</v>
      </c>
      <c r="B19" s="67" t="s">
        <v>361</v>
      </c>
    </row>
    <row r="20" spans="1:2" ht="18" customHeight="1" x14ac:dyDescent="0.2">
      <c r="A20" s="79" t="s">
        <v>362</v>
      </c>
      <c r="B20" s="67" t="s">
        <v>363</v>
      </c>
    </row>
    <row r="22" spans="1:2" ht="16" customHeight="1" x14ac:dyDescent="0.2">
      <c r="A22" s="65" t="s">
        <v>364</v>
      </c>
    </row>
    <row r="23" spans="1:2" ht="28" customHeight="1" x14ac:dyDescent="0.2">
      <c r="A23" s="80" t="s">
        <v>365</v>
      </c>
      <c r="B23" s="67" t="s">
        <v>366</v>
      </c>
    </row>
    <row r="24" spans="1:2" ht="28" customHeight="1" x14ac:dyDescent="0.2">
      <c r="A24" s="80" t="s">
        <v>4</v>
      </c>
      <c r="B24" s="67" t="s">
        <v>367</v>
      </c>
    </row>
    <row r="25" spans="1:2" ht="28" customHeight="1" x14ac:dyDescent="0.2">
      <c r="A25" s="80" t="s">
        <v>368</v>
      </c>
      <c r="B25" s="67"/>
    </row>
    <row r="26" spans="1:2" ht="28" customHeight="1" x14ac:dyDescent="0.2">
      <c r="A26" s="80" t="s">
        <v>369</v>
      </c>
      <c r="B26" s="67" t="s">
        <v>370</v>
      </c>
    </row>
    <row r="27" spans="1:2" ht="28" customHeight="1" x14ac:dyDescent="0.2">
      <c r="A27" s="80" t="s">
        <v>371</v>
      </c>
      <c r="B27" s="67" t="s">
        <v>372</v>
      </c>
    </row>
    <row r="28" spans="1:2" ht="28" customHeight="1" x14ac:dyDescent="0.2">
      <c r="A28" s="80" t="s">
        <v>373</v>
      </c>
      <c r="B28" s="67" t="s">
        <v>374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>
      <selection sqref="A1:G1"/>
    </sheetView>
  </sheetViews>
  <sheetFormatPr baseColWidth="10" defaultColWidth="8.83203125" defaultRowHeight="15" x14ac:dyDescent="0.2"/>
  <cols>
    <col min="1" max="1" width="20" customWidth="1"/>
    <col min="2" max="4" width="14" customWidth="1"/>
    <col min="5" max="5" width="16" customWidth="1"/>
    <col min="6" max="6" width="10" customWidth="1"/>
    <col min="7" max="7" width="38" customWidth="1"/>
  </cols>
  <sheetData>
    <row r="1" spans="1:7" ht="24" customHeight="1" x14ac:dyDescent="0.2">
      <c r="A1" s="97" t="s">
        <v>375</v>
      </c>
      <c r="B1" s="89"/>
      <c r="C1" s="89"/>
      <c r="D1" s="89"/>
      <c r="E1" s="89"/>
      <c r="F1" s="89"/>
      <c r="G1" s="89"/>
    </row>
    <row r="2" spans="1:7" ht="22" customHeight="1" x14ac:dyDescent="0.2">
      <c r="A2" s="81" t="s">
        <v>376</v>
      </c>
      <c r="B2" s="81" t="s">
        <v>377</v>
      </c>
      <c r="C2" s="81" t="s">
        <v>378</v>
      </c>
      <c r="D2" s="81" t="s">
        <v>379</v>
      </c>
      <c r="E2" s="81" t="s">
        <v>380</v>
      </c>
      <c r="F2" s="81" t="s">
        <v>381</v>
      </c>
      <c r="G2" s="81" t="s">
        <v>382</v>
      </c>
    </row>
    <row r="3" spans="1:7" ht="18" customHeight="1" x14ac:dyDescent="0.2">
      <c r="A3" s="75">
        <v>0.5</v>
      </c>
      <c r="B3" s="82">
        <v>0.44500000000000001</v>
      </c>
      <c r="C3" s="82">
        <v>0.30099999999999999</v>
      </c>
      <c r="D3" s="82">
        <v>2080.6999999999998</v>
      </c>
      <c r="E3" s="82">
        <v>0.746</v>
      </c>
      <c r="F3" s="82">
        <v>0.92700000000000005</v>
      </c>
      <c r="G3" s="83" t="s">
        <v>383</v>
      </c>
    </row>
    <row r="4" spans="1:7" ht="18" customHeight="1" x14ac:dyDescent="0.2">
      <c r="A4" s="84">
        <v>1</v>
      </c>
      <c r="B4" s="85">
        <v>0.4</v>
      </c>
      <c r="C4" s="85">
        <v>0.372</v>
      </c>
      <c r="D4" s="85">
        <v>1451.2</v>
      </c>
      <c r="E4" s="85">
        <v>0.77300000000000002</v>
      </c>
      <c r="F4" s="85">
        <v>0.98399999999999999</v>
      </c>
      <c r="G4" s="86" t="s">
        <v>384</v>
      </c>
    </row>
    <row r="5" spans="1:7" ht="18" customHeight="1" x14ac:dyDescent="0.2">
      <c r="A5" s="75">
        <v>1.5</v>
      </c>
      <c r="B5" s="82">
        <v>0.70899999999999996</v>
      </c>
      <c r="C5" s="82">
        <v>9.7000000000000003E-2</v>
      </c>
      <c r="D5" s="82">
        <v>314.10000000000002</v>
      </c>
      <c r="E5" s="82">
        <v>0.80500000000000005</v>
      </c>
      <c r="F5" s="82">
        <v>0.75700000000000001</v>
      </c>
      <c r="G5" s="83" t="s">
        <v>385</v>
      </c>
    </row>
    <row r="7" spans="1:7" ht="18" customHeight="1" x14ac:dyDescent="0.2">
      <c r="A7" s="87" t="s">
        <v>386</v>
      </c>
      <c r="B7" s="96" t="s">
        <v>387</v>
      </c>
      <c r="C7" s="89"/>
      <c r="D7" s="89"/>
      <c r="E7" s="89"/>
      <c r="F7" s="89"/>
      <c r="G7" s="89"/>
    </row>
    <row r="8" spans="1:7" ht="18" customHeight="1" x14ac:dyDescent="0.2">
      <c r="A8" s="87" t="s">
        <v>388</v>
      </c>
      <c r="B8" s="96" t="s">
        <v>389</v>
      </c>
      <c r="C8" s="89"/>
      <c r="D8" s="89"/>
      <c r="E8" s="89"/>
      <c r="F8" s="89"/>
      <c r="G8" s="89"/>
    </row>
    <row r="9" spans="1:7" ht="18" customHeight="1" x14ac:dyDescent="0.2">
      <c r="A9" s="87" t="s">
        <v>390</v>
      </c>
      <c r="B9" s="96" t="s">
        <v>391</v>
      </c>
      <c r="C9" s="89"/>
      <c r="D9" s="89"/>
      <c r="E9" s="89"/>
      <c r="F9" s="89"/>
      <c r="G9" s="89"/>
    </row>
  </sheetData>
  <mergeCells count="4">
    <mergeCell ref="B8:G8"/>
    <mergeCell ref="B7:G7"/>
    <mergeCell ref="A1:G1"/>
    <mergeCell ref="B9:G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4BB8-2D6F-5C43-99D2-DE7AE0873B0D}">
  <dimension ref="A1:AA64"/>
  <sheetViews>
    <sheetView tabSelected="1" zoomScale="15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F7" sqref="F7"/>
    </sheetView>
  </sheetViews>
  <sheetFormatPr baseColWidth="10" defaultRowHeight="15" x14ac:dyDescent="0.2"/>
  <cols>
    <col min="1" max="4" width="10.83203125" style="128"/>
    <col min="17" max="17" width="8.83203125"/>
  </cols>
  <sheetData>
    <row r="1" spans="1:27" x14ac:dyDescent="0.2">
      <c r="A1" s="98" t="s">
        <v>392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</row>
    <row r="2" spans="1:27" x14ac:dyDescent="0.2">
      <c r="A2" s="99" t="s">
        <v>393</v>
      </c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</row>
    <row r="3" spans="1:27" x14ac:dyDescent="0.2">
      <c r="A3" s="130" t="s">
        <v>394</v>
      </c>
      <c r="B3" s="131" t="s">
        <v>395</v>
      </c>
      <c r="C3" s="132"/>
      <c r="D3" s="132"/>
      <c r="E3" s="100" t="s">
        <v>396</v>
      </c>
      <c r="F3" s="89"/>
      <c r="G3" s="89"/>
      <c r="H3" s="89"/>
      <c r="I3" s="89"/>
      <c r="J3" s="89"/>
      <c r="K3" s="89"/>
      <c r="L3" s="89"/>
      <c r="M3" s="89"/>
      <c r="N3" s="89"/>
      <c r="O3" s="89"/>
      <c r="P3" s="101" t="s">
        <v>397</v>
      </c>
      <c r="Q3" s="101"/>
      <c r="R3" s="89"/>
      <c r="S3" s="89"/>
      <c r="T3" s="89"/>
      <c r="U3" s="89"/>
      <c r="V3" s="89"/>
      <c r="W3" s="89"/>
      <c r="X3" s="89"/>
      <c r="Y3" s="89"/>
      <c r="AA3" s="102" t="s">
        <v>382</v>
      </c>
    </row>
    <row r="4" spans="1:27" ht="40" thickBot="1" x14ac:dyDescent="0.25">
      <c r="A4" s="1" t="s">
        <v>394</v>
      </c>
      <c r="B4" s="3" t="s">
        <v>398</v>
      </c>
      <c r="C4" s="3" t="s">
        <v>29</v>
      </c>
      <c r="D4" s="4" t="s">
        <v>30</v>
      </c>
      <c r="E4" s="5" t="s">
        <v>399</v>
      </c>
      <c r="F4" s="5" t="s">
        <v>400</v>
      </c>
      <c r="G4" s="5" t="s">
        <v>401</v>
      </c>
      <c r="H4" s="5" t="s">
        <v>402</v>
      </c>
      <c r="I4" s="5" t="s">
        <v>403</v>
      </c>
      <c r="J4" s="5" t="s">
        <v>404</v>
      </c>
      <c r="K4" s="5" t="s">
        <v>405</v>
      </c>
      <c r="L4" s="5" t="s">
        <v>406</v>
      </c>
      <c r="M4" s="5" t="s">
        <v>407</v>
      </c>
      <c r="N4" s="5" t="s">
        <v>19</v>
      </c>
      <c r="O4" s="6" t="s">
        <v>20</v>
      </c>
      <c r="P4" s="7" t="s">
        <v>408</v>
      </c>
      <c r="Q4" s="7" t="s">
        <v>444</v>
      </c>
      <c r="R4" s="7" t="s">
        <v>409</v>
      </c>
      <c r="S4" s="7" t="s">
        <v>445</v>
      </c>
      <c r="T4" s="7" t="s">
        <v>410</v>
      </c>
      <c r="U4" s="7" t="s">
        <v>443</v>
      </c>
      <c r="V4" s="7" t="s">
        <v>35</v>
      </c>
      <c r="W4" s="7" t="s">
        <v>36</v>
      </c>
      <c r="X4" s="121"/>
      <c r="Y4" s="8" t="s">
        <v>37</v>
      </c>
      <c r="Z4" s="124"/>
      <c r="AA4" s="103" t="s">
        <v>411</v>
      </c>
    </row>
    <row r="5" spans="1:27" ht="26" x14ac:dyDescent="0.2">
      <c r="A5" s="133" t="s">
        <v>412</v>
      </c>
      <c r="B5" s="134">
        <v>0.5</v>
      </c>
      <c r="C5" s="134">
        <v>30</v>
      </c>
      <c r="D5" s="135">
        <v>1</v>
      </c>
      <c r="E5" s="104">
        <v>1</v>
      </c>
      <c r="F5" s="104">
        <v>6</v>
      </c>
      <c r="G5" s="104">
        <v>13</v>
      </c>
      <c r="H5" s="104">
        <v>18</v>
      </c>
      <c r="I5" s="104">
        <v>1</v>
      </c>
      <c r="J5" s="104">
        <v>3</v>
      </c>
      <c r="K5" s="104">
        <v>38.299999999999997</v>
      </c>
      <c r="L5" s="104">
        <v>7</v>
      </c>
      <c r="M5" s="104">
        <v>1</v>
      </c>
      <c r="N5" s="104">
        <v>370</v>
      </c>
      <c r="O5" s="105">
        <v>530</v>
      </c>
      <c r="P5" s="129">
        <v>0.19000000000000003</v>
      </c>
      <c r="Q5" s="129">
        <v>1.0000000000000009E-2</v>
      </c>
      <c r="R5" s="129">
        <v>0.63333333333333319</v>
      </c>
      <c r="S5" s="129">
        <v>1.8257418583505512E-2</v>
      </c>
      <c r="T5" s="129">
        <v>0.82333333333333303</v>
      </c>
      <c r="U5" s="129">
        <v>1.5275252316519432E-2</v>
      </c>
      <c r="V5" s="106">
        <f>P5/T5</f>
        <v>0.23076923076923089</v>
      </c>
      <c r="W5" s="106"/>
      <c r="X5" s="122"/>
      <c r="Y5" s="107"/>
      <c r="Z5" s="125"/>
      <c r="AA5" s="108"/>
    </row>
    <row r="6" spans="1:27" ht="26" x14ac:dyDescent="0.2">
      <c r="A6" s="133" t="s">
        <v>413</v>
      </c>
      <c r="B6" s="134">
        <v>0.5</v>
      </c>
      <c r="C6" s="134">
        <v>60</v>
      </c>
      <c r="D6" s="135">
        <v>1</v>
      </c>
      <c r="E6" s="104">
        <v>1</v>
      </c>
      <c r="F6" s="104">
        <v>6</v>
      </c>
      <c r="G6" s="104">
        <v>13</v>
      </c>
      <c r="H6" s="104">
        <v>18</v>
      </c>
      <c r="I6" s="104">
        <v>1</v>
      </c>
      <c r="J6" s="104">
        <v>3</v>
      </c>
      <c r="K6" s="104">
        <v>38.299999999999997</v>
      </c>
      <c r="L6" s="104">
        <v>7</v>
      </c>
      <c r="M6" s="104">
        <v>1</v>
      </c>
      <c r="N6" s="104">
        <v>370</v>
      </c>
      <c r="O6" s="105">
        <v>530</v>
      </c>
      <c r="P6">
        <f>AVERAGE(0.43,0.43,0.43,0.42,0.41,0.41,0.45,0.45,0.45)</f>
        <v>0.43111111111111122</v>
      </c>
      <c r="Q6">
        <f>STDEV(0.43,0.43,0.43,0.42,0.41,0.41,0.45,0.45,0.45)</f>
        <v>1.6158932858054444E-2</v>
      </c>
      <c r="R6" s="129">
        <v>0.551111111111111</v>
      </c>
      <c r="S6" s="129">
        <v>3.0505008696205243E-2</v>
      </c>
      <c r="T6" s="127">
        <v>0.98222200000000004</v>
      </c>
      <c r="U6">
        <f>STDEV(0.94,0.96,0.96,0.98,0.99,0.98,1.02,1.01,1)</f>
        <v>2.5873624493766734E-2</v>
      </c>
      <c r="V6" s="106">
        <f t="shared" ref="V6:V44" si="0">P6/T6</f>
        <v>0.4389141264511599</v>
      </c>
      <c r="W6" s="106"/>
      <c r="X6" s="122"/>
      <c r="Y6" s="107"/>
      <c r="Z6" s="125"/>
      <c r="AA6" s="108"/>
    </row>
    <row r="7" spans="1:27" ht="26" x14ac:dyDescent="0.2">
      <c r="A7" s="133" t="s">
        <v>414</v>
      </c>
      <c r="B7" s="134">
        <v>0.5</v>
      </c>
      <c r="C7" s="134">
        <v>90</v>
      </c>
      <c r="D7" s="135">
        <v>1</v>
      </c>
      <c r="E7" s="104">
        <v>1</v>
      </c>
      <c r="F7" s="104">
        <v>6</v>
      </c>
      <c r="G7" s="104">
        <v>13</v>
      </c>
      <c r="H7" s="104">
        <v>18</v>
      </c>
      <c r="I7" s="104">
        <v>1</v>
      </c>
      <c r="J7" s="104">
        <v>3</v>
      </c>
      <c r="K7" s="104">
        <v>38.299999999999997</v>
      </c>
      <c r="L7" s="104">
        <v>7</v>
      </c>
      <c r="M7" s="104">
        <v>1</v>
      </c>
      <c r="N7" s="104">
        <v>370</v>
      </c>
      <c r="O7" s="105">
        <v>530</v>
      </c>
      <c r="P7">
        <f>AVERAGE(0.42,0.44,0.42,0.4,0.39,0.4,0.47,0.45,0.47)</f>
        <v>0.42888888888888893</v>
      </c>
      <c r="Q7">
        <f>STDEV(0.42,0.44,0.42,0.4,0.39,0.4,0.47,0.45,0.47)</f>
        <v>3.0184617127124707E-2</v>
      </c>
      <c r="R7" s="129">
        <v>0.53777777777777791</v>
      </c>
      <c r="S7" s="129">
        <v>3.5158371849548294E-2</v>
      </c>
      <c r="T7" s="127">
        <v>0.96666700000000005</v>
      </c>
      <c r="U7">
        <f>STDEV(0.97,0.97,0.97,0.96,0.95,0.93,0.99,0.98,0.98)</f>
        <v>1.8027756377319935E-2</v>
      </c>
      <c r="V7" s="106">
        <f t="shared" si="0"/>
        <v>0.4436780079271237</v>
      </c>
      <c r="W7" s="106"/>
      <c r="X7" s="122"/>
      <c r="Y7" s="107"/>
      <c r="Z7" s="125"/>
      <c r="AA7" s="108"/>
    </row>
    <row r="8" spans="1:27" ht="26" x14ac:dyDescent="0.2">
      <c r="A8" s="133" t="s">
        <v>415</v>
      </c>
      <c r="B8" s="134">
        <v>0.5</v>
      </c>
      <c r="C8" s="134">
        <v>120</v>
      </c>
      <c r="D8" s="135">
        <v>1</v>
      </c>
      <c r="E8" s="104">
        <v>1</v>
      </c>
      <c r="F8" s="104">
        <v>6</v>
      </c>
      <c r="G8" s="104">
        <v>13</v>
      </c>
      <c r="H8" s="104">
        <v>18</v>
      </c>
      <c r="I8" s="104">
        <v>1</v>
      </c>
      <c r="J8" s="104">
        <v>3</v>
      </c>
      <c r="K8" s="104">
        <v>38.299999999999997</v>
      </c>
      <c r="L8" s="104">
        <v>7</v>
      </c>
      <c r="M8" s="104">
        <v>1</v>
      </c>
      <c r="N8" s="104">
        <v>370</v>
      </c>
      <c r="O8" s="105">
        <v>530</v>
      </c>
      <c r="P8">
        <f>AVERAGE(0.43,0.44,0.45,0.44,0.45,0.43,0.52,0.56,0.52)</f>
        <v>0.47111111111111115</v>
      </c>
      <c r="Q8">
        <f>STDEV(0.43,0.44,0.45,0.44,0.45,0.43,0.52,0.56,0.52)</f>
        <v>4.8591265790377515E-2</v>
      </c>
      <c r="R8" s="129">
        <v>0.5166666666666665</v>
      </c>
      <c r="S8" s="129">
        <v>5.857094463601862E-2</v>
      </c>
      <c r="T8" s="127">
        <v>0.98777800000000004</v>
      </c>
      <c r="U8">
        <f>STDEV(0.95,0.96,0.94,1.02,1,0.97,1.01,1.02,1.02)</f>
        <v>3.2702361450581002E-2</v>
      </c>
      <c r="V8" s="106">
        <f t="shared" si="0"/>
        <v>0.47694027515404386</v>
      </c>
      <c r="W8" s="106"/>
      <c r="X8" s="122"/>
      <c r="Y8" s="107"/>
      <c r="Z8" s="125"/>
      <c r="AA8" s="108"/>
    </row>
    <row r="9" spans="1:27" ht="26" x14ac:dyDescent="0.2">
      <c r="A9" s="133" t="s">
        <v>416</v>
      </c>
      <c r="B9" s="134">
        <v>0.5</v>
      </c>
      <c r="C9" s="134">
        <v>150</v>
      </c>
      <c r="D9" s="135">
        <v>1</v>
      </c>
      <c r="E9" s="104">
        <v>1</v>
      </c>
      <c r="F9" s="104">
        <v>6</v>
      </c>
      <c r="G9" s="104">
        <v>13</v>
      </c>
      <c r="H9" s="104">
        <v>18</v>
      </c>
      <c r="I9" s="104">
        <v>1</v>
      </c>
      <c r="J9" s="104">
        <v>3</v>
      </c>
      <c r="K9" s="104">
        <v>38.299999999999997</v>
      </c>
      <c r="L9" s="104">
        <v>7</v>
      </c>
      <c r="M9" s="104">
        <v>1</v>
      </c>
      <c r="N9" s="104">
        <v>370</v>
      </c>
      <c r="O9" s="105">
        <v>530</v>
      </c>
      <c r="P9">
        <f>AVERAGE(0.48,0.48,0.48,0.47,0.48,0.49,0.53,0.52,0.52)</f>
        <v>0.49444444444444446</v>
      </c>
      <c r="Q9">
        <f>STDEV(0.48,0.48,0.48,0.47,0.48,0.49,0.53,0.52,0.52)</f>
        <v>2.242270674512287E-2</v>
      </c>
      <c r="R9" s="129">
        <v>0.51444444444444448</v>
      </c>
      <c r="S9" s="129">
        <v>2.6246692913372727E-2</v>
      </c>
      <c r="T9" s="127">
        <v>1.0088889999999999</v>
      </c>
      <c r="U9">
        <f>STDEV(0.99,0.99,1.01,1.01,1.01,1,1.03,1.02,1.02)</f>
        <v>1.3642254619787427E-2</v>
      </c>
      <c r="V9" s="106">
        <f t="shared" si="0"/>
        <v>0.49008805175241726</v>
      </c>
      <c r="W9" s="106"/>
      <c r="X9" s="122"/>
      <c r="Y9" s="107"/>
      <c r="Z9" s="125"/>
      <c r="AA9" s="108"/>
    </row>
    <row r="10" spans="1:27" ht="26" x14ac:dyDescent="0.2">
      <c r="A10" s="133" t="s">
        <v>417</v>
      </c>
      <c r="B10" s="134">
        <v>0.5</v>
      </c>
      <c r="C10" s="134">
        <v>180</v>
      </c>
      <c r="D10" s="135">
        <v>1</v>
      </c>
      <c r="E10" s="104">
        <v>1</v>
      </c>
      <c r="F10" s="104">
        <v>6</v>
      </c>
      <c r="G10" s="104">
        <v>13</v>
      </c>
      <c r="H10" s="104">
        <v>18</v>
      </c>
      <c r="I10" s="104">
        <v>1</v>
      </c>
      <c r="J10" s="104">
        <v>3</v>
      </c>
      <c r="K10" s="104">
        <v>38.299999999999997</v>
      </c>
      <c r="L10" s="104">
        <v>7</v>
      </c>
      <c r="M10" s="104">
        <v>1</v>
      </c>
      <c r="N10" s="104">
        <v>370</v>
      </c>
      <c r="O10" s="105">
        <v>530</v>
      </c>
      <c r="P10">
        <f>AVERAGE(0.45,0.47,0.46,0.48,0.47,0.46,0.55,0.54,0.54)</f>
        <v>0.49111111111111111</v>
      </c>
      <c r="Q10">
        <f>STDEV(0.45,0.47,0.46,0.48,0.47,0.46,0.55,0.54,0.54)</f>
        <v>4.0138648595974338E-2</v>
      </c>
      <c r="R10" s="129">
        <v>0.53333333333333344</v>
      </c>
      <c r="S10" s="129">
        <v>7.2380169168694927E-2</v>
      </c>
      <c r="T10" s="127">
        <v>1.0244439999999999</v>
      </c>
      <c r="U10">
        <f>STDEV(0.98,0.98,0.97,0.99,0.98,1.01,1.11,1.1,1.1)</f>
        <v>6.0231036665308886E-2</v>
      </c>
      <c r="V10" s="106">
        <f t="shared" si="0"/>
        <v>0.47939283270838734</v>
      </c>
      <c r="W10" s="106"/>
      <c r="X10" s="122"/>
      <c r="Y10" s="107"/>
      <c r="Z10" s="125"/>
      <c r="AA10" s="108"/>
    </row>
    <row r="11" spans="1:27" ht="26" x14ac:dyDescent="0.2">
      <c r="A11" s="133" t="s">
        <v>418</v>
      </c>
      <c r="B11" s="134">
        <v>0.5</v>
      </c>
      <c r="C11" s="134">
        <v>300</v>
      </c>
      <c r="D11" s="135">
        <v>1</v>
      </c>
      <c r="E11" s="104">
        <v>1</v>
      </c>
      <c r="F11" s="104">
        <v>6</v>
      </c>
      <c r="G11" s="104">
        <v>13</v>
      </c>
      <c r="H11" s="104">
        <v>18</v>
      </c>
      <c r="I11" s="104">
        <v>1</v>
      </c>
      <c r="J11" s="104">
        <v>3</v>
      </c>
      <c r="K11" s="104">
        <v>38.299999999999997</v>
      </c>
      <c r="L11" s="104">
        <v>7</v>
      </c>
      <c r="M11" s="104">
        <v>1</v>
      </c>
      <c r="N11" s="104">
        <v>370</v>
      </c>
      <c r="O11" s="105">
        <v>530</v>
      </c>
      <c r="P11">
        <f>AVERAGE(0.51,0.52,0.5,0.5,0.5,0.51,0.55,0.55,0.55)</f>
        <v>0.52111111111111108</v>
      </c>
      <c r="Q11">
        <f>STDEV(0.51,0.52,0.5,0.5,0.5,0.51,0.55,0.55,0.55)</f>
        <v>2.2607766610417582E-2</v>
      </c>
      <c r="R11" s="129">
        <v>0.53555555555555556</v>
      </c>
      <c r="S11" s="129">
        <v>4.6487752269937892E-2</v>
      </c>
      <c r="T11" s="127">
        <v>1.056667</v>
      </c>
      <c r="U11">
        <f>STDEV(1.03,1.02,1.03,1.04,1.04,1.02,1.11,1.11,1.11)</f>
        <v>4.0620192023179839E-2</v>
      </c>
      <c r="V11" s="106">
        <f t="shared" si="0"/>
        <v>0.49316493380706605</v>
      </c>
      <c r="W11" s="106"/>
      <c r="X11" s="122"/>
      <c r="Y11" s="107"/>
      <c r="Z11" s="125"/>
      <c r="AA11" s="108"/>
    </row>
    <row r="12" spans="1:27" ht="26" x14ac:dyDescent="0.2">
      <c r="A12" s="133" t="s">
        <v>419</v>
      </c>
      <c r="B12" s="134">
        <v>0.5</v>
      </c>
      <c r="C12" s="134">
        <v>600</v>
      </c>
      <c r="D12" s="135">
        <v>1</v>
      </c>
      <c r="E12" s="104">
        <v>1</v>
      </c>
      <c r="F12" s="104">
        <v>6</v>
      </c>
      <c r="G12" s="104">
        <v>13</v>
      </c>
      <c r="H12" s="104">
        <v>18</v>
      </c>
      <c r="I12" s="104">
        <v>1</v>
      </c>
      <c r="J12" s="104">
        <v>3</v>
      </c>
      <c r="K12" s="104">
        <v>38.299999999999997</v>
      </c>
      <c r="L12" s="104">
        <v>7</v>
      </c>
      <c r="M12" s="104">
        <v>1</v>
      </c>
      <c r="N12" s="104">
        <v>370</v>
      </c>
      <c r="O12" s="105">
        <v>530</v>
      </c>
      <c r="P12">
        <f>AVERAGE(0.55,0.53,0.48,0.52,0.53,0.52,0.57,0.58,0.58)</f>
        <v>0.54</v>
      </c>
      <c r="Q12">
        <f>STDEV(0.55,0.53,0.48,0.52,0.53,0.52,0.57,0.58,0.58)</f>
        <v>3.3166247903553984E-2</v>
      </c>
      <c r="R12" s="129">
        <v>0.51333333333333342</v>
      </c>
      <c r="S12" s="129">
        <v>5.8523499553598153E-2</v>
      </c>
      <c r="T12" s="127">
        <v>1.0533330000000001</v>
      </c>
      <c r="U12">
        <f>STDEV(1.01,1,1.01,1.06,1.03,1.03,1.11,1.12,1.11)</f>
        <v>4.821825380496482E-2</v>
      </c>
      <c r="V12" s="106">
        <f t="shared" si="0"/>
        <v>0.51265839008176906</v>
      </c>
      <c r="W12" s="106"/>
      <c r="X12" s="122"/>
      <c r="Y12" s="107"/>
      <c r="Z12" s="125"/>
      <c r="AA12" s="108"/>
    </row>
    <row r="13" spans="1:27" ht="26" x14ac:dyDescent="0.2">
      <c r="A13" s="133" t="s">
        <v>420</v>
      </c>
      <c r="B13" s="134">
        <v>0.5</v>
      </c>
      <c r="C13" s="134">
        <v>1200</v>
      </c>
      <c r="D13" s="135">
        <v>1</v>
      </c>
      <c r="E13" s="104">
        <v>1</v>
      </c>
      <c r="F13" s="104">
        <v>6</v>
      </c>
      <c r="G13" s="104">
        <v>13</v>
      </c>
      <c r="H13" s="104">
        <v>18</v>
      </c>
      <c r="I13" s="104">
        <v>1</v>
      </c>
      <c r="J13" s="104">
        <v>3</v>
      </c>
      <c r="K13" s="104">
        <v>38.299999999999997</v>
      </c>
      <c r="L13" s="104">
        <v>7</v>
      </c>
      <c r="M13" s="104">
        <v>1</v>
      </c>
      <c r="N13" s="104">
        <v>370</v>
      </c>
      <c r="O13" s="105">
        <v>530</v>
      </c>
      <c r="P13">
        <f>AVERAGE(0.53,0.53,0.53,0.53,0.53,0.52,0.59,0.58,0.59)</f>
        <v>0.5477777777777777</v>
      </c>
      <c r="Q13">
        <f>STDEV(0.53,0.53,0.53,0.53,0.53,0.52,0.59,0.58,0.59)</f>
        <v>2.9486343354923526E-2</v>
      </c>
      <c r="R13" s="129">
        <v>0.51555555555555554</v>
      </c>
      <c r="S13" s="129">
        <v>5.9535236998305791E-2</v>
      </c>
      <c r="T13" s="127">
        <v>1.0633330000000001</v>
      </c>
      <c r="U13">
        <f>STDEV(1.04,1.03,1.05,1.02,1.02,1.02,1.14,1.14,1.11)</f>
        <v>5.1720402163942969E-2</v>
      </c>
      <c r="V13" s="106">
        <f t="shared" si="0"/>
        <v>0.51515167664106887</v>
      </c>
      <c r="W13" s="106"/>
      <c r="X13" s="122"/>
      <c r="Y13" s="107"/>
      <c r="Z13" s="125"/>
      <c r="AA13" s="108"/>
    </row>
    <row r="14" spans="1:27" ht="26" x14ac:dyDescent="0.2">
      <c r="A14" s="133" t="s">
        <v>418</v>
      </c>
      <c r="B14" s="134">
        <v>0.5</v>
      </c>
      <c r="C14" s="134">
        <v>1800</v>
      </c>
      <c r="D14" s="135">
        <v>1</v>
      </c>
      <c r="E14" s="104">
        <v>1</v>
      </c>
      <c r="F14" s="104">
        <v>6</v>
      </c>
      <c r="G14" s="104">
        <v>13</v>
      </c>
      <c r="H14" s="104">
        <v>18</v>
      </c>
      <c r="I14" s="104">
        <v>1</v>
      </c>
      <c r="J14" s="104">
        <v>3</v>
      </c>
      <c r="K14" s="104">
        <v>38.299999999999997</v>
      </c>
      <c r="L14" s="104">
        <v>7</v>
      </c>
      <c r="M14" s="104">
        <v>1</v>
      </c>
      <c r="N14" s="104">
        <v>370</v>
      </c>
      <c r="O14" s="105">
        <v>530</v>
      </c>
      <c r="P14">
        <f>AVERAGE(0.54,0.55,0.54,0.57,0.56,0.56,0.62,0.61,0.62)</f>
        <v>0.57444444444444454</v>
      </c>
      <c r="Q14">
        <f>STDEV(0.54,0.55,0.54,0.57,0.56,0.56,0.62,0.61,0.62)</f>
        <v>3.3208098075285436E-2</v>
      </c>
      <c r="R14" s="129">
        <v>0.50555555555555576</v>
      </c>
      <c r="S14" s="129">
        <v>5.2228132053307924E-2</v>
      </c>
      <c r="T14" s="127">
        <v>1.08</v>
      </c>
      <c r="U14">
        <f>STDEV(1.05,1.05,1.05,1.06,1.06,1.05,1.13,1.13,1.14)</f>
        <v>4.0311288741492673E-2</v>
      </c>
      <c r="V14" s="106">
        <f t="shared" si="0"/>
        <v>0.53189300411522633</v>
      </c>
      <c r="W14" s="106"/>
      <c r="X14" s="122"/>
      <c r="Y14" s="107"/>
      <c r="Z14" s="125"/>
      <c r="AA14" s="108"/>
    </row>
    <row r="15" spans="1:27" ht="26" x14ac:dyDescent="0.2">
      <c r="A15" s="133" t="s">
        <v>419</v>
      </c>
      <c r="B15" s="134">
        <v>0.5</v>
      </c>
      <c r="C15" s="134">
        <v>3600</v>
      </c>
      <c r="D15" s="135">
        <v>1</v>
      </c>
      <c r="E15" s="104">
        <v>1</v>
      </c>
      <c r="F15" s="104">
        <v>6</v>
      </c>
      <c r="G15" s="104">
        <v>13</v>
      </c>
      <c r="H15" s="104">
        <v>18</v>
      </c>
      <c r="I15" s="104">
        <v>1</v>
      </c>
      <c r="J15" s="104">
        <v>3</v>
      </c>
      <c r="K15" s="104">
        <v>38.299999999999997</v>
      </c>
      <c r="L15" s="104">
        <v>7</v>
      </c>
      <c r="M15" s="104">
        <v>1</v>
      </c>
      <c r="N15" s="104">
        <v>370</v>
      </c>
      <c r="O15" s="105">
        <v>530</v>
      </c>
      <c r="P15">
        <f>AVERAGE(0.69,0.7,0.69,0.71,0.69,0.7,0.72,0.74,0.73)</f>
        <v>0.70777777777777773</v>
      </c>
      <c r="Q15">
        <f>STDEV(0.69,0.7,0.69,0.71,0.69,0.7,0.72,0.74,0.73)</f>
        <v>1.8559214542766756E-2</v>
      </c>
      <c r="R15" s="129">
        <v>0.44333333333333325</v>
      </c>
      <c r="S15" s="129">
        <v>2.4094720491334955E-2</v>
      </c>
      <c r="T15" s="127">
        <v>1.151111</v>
      </c>
      <c r="U15">
        <f>STDEV(1.13,1.14,1.13,1.15,1.15,1.16,1.16,1.17,1.17)</f>
        <v>1.5365907428821494E-2</v>
      </c>
      <c r="V15" s="106">
        <f t="shared" si="0"/>
        <v>0.61486492421476102</v>
      </c>
      <c r="W15" s="106"/>
      <c r="X15" s="122"/>
      <c r="Y15" s="107"/>
      <c r="Z15" s="125"/>
      <c r="AA15" s="108"/>
    </row>
    <row r="16" spans="1:27" ht="26" x14ac:dyDescent="0.2">
      <c r="A16" s="133" t="s">
        <v>420</v>
      </c>
      <c r="B16" s="134">
        <v>0.5</v>
      </c>
      <c r="C16" s="134">
        <v>7200</v>
      </c>
      <c r="D16" s="135">
        <v>1</v>
      </c>
      <c r="E16" s="104">
        <v>1</v>
      </c>
      <c r="F16" s="104">
        <v>6</v>
      </c>
      <c r="G16" s="104">
        <v>13</v>
      </c>
      <c r="H16" s="104">
        <v>18</v>
      </c>
      <c r="I16" s="104">
        <v>1</v>
      </c>
      <c r="J16" s="104">
        <v>3</v>
      </c>
      <c r="K16" s="104">
        <v>38.299999999999997</v>
      </c>
      <c r="L16" s="104">
        <v>7</v>
      </c>
      <c r="M16" s="104">
        <v>1</v>
      </c>
      <c r="N16" s="104">
        <v>370</v>
      </c>
      <c r="O16" s="105">
        <v>530</v>
      </c>
      <c r="P16">
        <f>AVERAGE(0.75,0.75,0.77,0.69,0.69,0.69,0.73,0.73,0.73)</f>
        <v>0.72555555555555573</v>
      </c>
      <c r="Q16">
        <f>STDEV(0.75,0.75,0.77,0.69,0.69,0.69,0.73,0.73,0.73)</f>
        <v>2.9627314724385321E-2</v>
      </c>
      <c r="R16" s="129">
        <v>0.48444444444444423</v>
      </c>
      <c r="S16" s="129">
        <v>3.6094013046179554E-2</v>
      </c>
      <c r="T16" s="127">
        <v>1.21</v>
      </c>
      <c r="U16">
        <f>STDEV(1.2,1.21,1.22,1.18,1.18,1.21,1.23,1.24,1.22)</f>
        <v>2.0615528128088322E-2</v>
      </c>
      <c r="V16" s="106">
        <f t="shared" si="0"/>
        <v>0.59963269054178159</v>
      </c>
      <c r="W16" s="106"/>
      <c r="X16" s="122"/>
      <c r="Y16" s="107"/>
      <c r="Z16" s="125"/>
      <c r="AA16" s="108"/>
    </row>
    <row r="17" spans="1:27" ht="26" x14ac:dyDescent="0.2">
      <c r="A17" s="133" t="s">
        <v>421</v>
      </c>
      <c r="B17" s="134">
        <v>1</v>
      </c>
      <c r="C17" s="134">
        <v>30</v>
      </c>
      <c r="D17" s="135">
        <v>1</v>
      </c>
      <c r="E17" s="104">
        <v>1</v>
      </c>
      <c r="F17" s="104">
        <v>6</v>
      </c>
      <c r="G17" s="104">
        <v>13</v>
      </c>
      <c r="H17" s="104">
        <v>18</v>
      </c>
      <c r="I17" s="104">
        <v>1</v>
      </c>
      <c r="J17" s="104">
        <v>3</v>
      </c>
      <c r="K17" s="104">
        <v>38.299999999999997</v>
      </c>
      <c r="L17" s="104">
        <v>7</v>
      </c>
      <c r="M17" s="104">
        <v>1</v>
      </c>
      <c r="N17" s="104">
        <v>370</v>
      </c>
      <c r="O17" s="105">
        <v>530</v>
      </c>
      <c r="P17" s="129">
        <v>0.30000000000000004</v>
      </c>
      <c r="Q17" s="129">
        <v>2.6457513110645901E-2</v>
      </c>
      <c r="R17" s="129">
        <v>1.0733333333333333</v>
      </c>
      <c r="S17" s="129">
        <v>2.7080128015453168E-2</v>
      </c>
      <c r="T17" s="129">
        <v>1.3733333333333333</v>
      </c>
      <c r="U17" s="129">
        <v>5.7735026918961348E-3</v>
      </c>
      <c r="V17" s="106">
        <f t="shared" si="0"/>
        <v>0.21844660194174761</v>
      </c>
      <c r="W17" s="106"/>
      <c r="X17" s="122"/>
      <c r="Y17" s="107"/>
      <c r="Z17" s="125"/>
      <c r="AA17" s="108"/>
    </row>
    <row r="18" spans="1:27" ht="26" x14ac:dyDescent="0.2">
      <c r="A18" s="133" t="s">
        <v>422</v>
      </c>
      <c r="B18" s="134">
        <v>1</v>
      </c>
      <c r="C18" s="134">
        <v>60</v>
      </c>
      <c r="D18" s="135">
        <v>1</v>
      </c>
      <c r="E18" s="104">
        <v>1</v>
      </c>
      <c r="F18" s="104">
        <v>6</v>
      </c>
      <c r="G18" s="104">
        <v>13</v>
      </c>
      <c r="H18" s="104">
        <v>18</v>
      </c>
      <c r="I18" s="104">
        <v>1</v>
      </c>
      <c r="J18" s="104">
        <v>3</v>
      </c>
      <c r="K18" s="104">
        <v>38.299999999999997</v>
      </c>
      <c r="L18" s="104">
        <v>7</v>
      </c>
      <c r="M18" s="104">
        <v>1</v>
      </c>
      <c r="N18" s="104">
        <v>370</v>
      </c>
      <c r="O18" s="105">
        <v>530</v>
      </c>
      <c r="P18" s="106">
        <v>0.44000000000000006</v>
      </c>
      <c r="Q18" s="106">
        <v>8.1853527718724395E-2</v>
      </c>
      <c r="R18" s="106">
        <v>0.99666666666666648</v>
      </c>
      <c r="S18" s="106">
        <v>0.10499999999999991</v>
      </c>
      <c r="T18" s="106">
        <v>1.4366666666666665</v>
      </c>
      <c r="U18" s="106">
        <v>6.576473218982952E-2</v>
      </c>
      <c r="V18" s="106">
        <f t="shared" si="0"/>
        <v>0.30626450116009285</v>
      </c>
      <c r="W18" s="106"/>
      <c r="X18" s="122"/>
      <c r="Y18" s="107"/>
      <c r="Z18" s="125"/>
      <c r="AA18" s="108"/>
    </row>
    <row r="19" spans="1:27" ht="26" x14ac:dyDescent="0.2">
      <c r="A19" s="133" t="s">
        <v>423</v>
      </c>
      <c r="B19" s="134">
        <v>1</v>
      </c>
      <c r="C19" s="134">
        <v>90</v>
      </c>
      <c r="D19" s="135">
        <v>1</v>
      </c>
      <c r="E19" s="104">
        <v>1</v>
      </c>
      <c r="F19" s="104">
        <v>6</v>
      </c>
      <c r="G19" s="104">
        <v>13</v>
      </c>
      <c r="H19" s="104">
        <v>18</v>
      </c>
      <c r="I19" s="104">
        <v>1</v>
      </c>
      <c r="J19" s="104">
        <v>3</v>
      </c>
      <c r="K19" s="104">
        <v>38.299999999999997</v>
      </c>
      <c r="L19" s="104">
        <v>7</v>
      </c>
      <c r="M19" s="104">
        <v>1</v>
      </c>
      <c r="N19" s="104">
        <v>370</v>
      </c>
      <c r="O19" s="105">
        <v>530</v>
      </c>
      <c r="P19" s="106">
        <v>0.39111111111111108</v>
      </c>
      <c r="Q19" s="106">
        <v>9.9051053054024271E-2</v>
      </c>
      <c r="R19" s="106">
        <v>1.0044444444444447</v>
      </c>
      <c r="S19" s="106">
        <v>0.1478644273951274</v>
      </c>
      <c r="T19" s="106">
        <v>1.3955555555555557</v>
      </c>
      <c r="U19" s="106">
        <v>0.10978514370249634</v>
      </c>
      <c r="V19" s="106">
        <f t="shared" si="0"/>
        <v>0.28025477707006363</v>
      </c>
      <c r="W19" s="106"/>
      <c r="X19" s="122"/>
      <c r="Y19" s="107"/>
      <c r="Z19" s="125"/>
      <c r="AA19" s="108"/>
    </row>
    <row r="20" spans="1:27" ht="26" x14ac:dyDescent="0.2">
      <c r="A20" s="133" t="s">
        <v>424</v>
      </c>
      <c r="B20" s="134">
        <v>1</v>
      </c>
      <c r="C20" s="134">
        <v>120</v>
      </c>
      <c r="D20" s="135">
        <v>1</v>
      </c>
      <c r="E20" s="104">
        <v>1</v>
      </c>
      <c r="F20" s="104">
        <v>6</v>
      </c>
      <c r="G20" s="104">
        <v>13</v>
      </c>
      <c r="H20" s="104">
        <v>18</v>
      </c>
      <c r="I20" s="104">
        <v>1</v>
      </c>
      <c r="J20" s="104">
        <v>3</v>
      </c>
      <c r="K20" s="104">
        <v>38.299999999999997</v>
      </c>
      <c r="L20" s="104">
        <v>7</v>
      </c>
      <c r="M20" s="104">
        <v>1</v>
      </c>
      <c r="N20" s="104">
        <v>370</v>
      </c>
      <c r="O20" s="105">
        <v>530</v>
      </c>
      <c r="P20" s="106">
        <v>0.42888888888888893</v>
      </c>
      <c r="Q20" s="106">
        <v>9.2930679063003938E-2</v>
      </c>
      <c r="R20" s="106">
        <v>1.0000000000000002</v>
      </c>
      <c r="S20" s="106">
        <v>0.12834415538785607</v>
      </c>
      <c r="T20" s="106">
        <v>1.4288888888888891</v>
      </c>
      <c r="U20" s="106">
        <v>8.8521811499263317E-2</v>
      </c>
      <c r="V20" s="106">
        <f t="shared" si="0"/>
        <v>0.30015552099533438</v>
      </c>
      <c r="W20" s="106"/>
      <c r="X20" s="122"/>
      <c r="Y20" s="107"/>
      <c r="Z20" s="125"/>
      <c r="AA20" s="108"/>
    </row>
    <row r="21" spans="1:27" ht="26" x14ac:dyDescent="0.2">
      <c r="A21" s="133" t="s">
        <v>425</v>
      </c>
      <c r="B21" s="134">
        <v>1</v>
      </c>
      <c r="C21" s="134">
        <v>150</v>
      </c>
      <c r="D21" s="135">
        <v>1</v>
      </c>
      <c r="E21" s="104">
        <v>1</v>
      </c>
      <c r="F21" s="104">
        <v>6</v>
      </c>
      <c r="G21" s="104">
        <v>13</v>
      </c>
      <c r="H21" s="104">
        <v>18</v>
      </c>
      <c r="I21" s="104">
        <v>1</v>
      </c>
      <c r="J21" s="104">
        <v>3</v>
      </c>
      <c r="K21" s="104">
        <v>38.299999999999997</v>
      </c>
      <c r="L21" s="104">
        <v>7</v>
      </c>
      <c r="M21" s="104">
        <v>1</v>
      </c>
      <c r="N21" s="104">
        <v>370</v>
      </c>
      <c r="O21" s="105">
        <v>530</v>
      </c>
      <c r="P21" s="106">
        <v>0.45222222222222225</v>
      </c>
      <c r="Q21" s="106">
        <v>7.2762933176476655E-2</v>
      </c>
      <c r="R21" s="106">
        <v>1.0166666666666664</v>
      </c>
      <c r="S21" s="106">
        <v>0.10597431554653006</v>
      </c>
      <c r="T21" s="106">
        <v>1.4688888888888887</v>
      </c>
      <c r="U21" s="106">
        <v>7.7046162208841487E-2</v>
      </c>
      <c r="V21" s="106">
        <f t="shared" si="0"/>
        <v>0.30786686838124061</v>
      </c>
      <c r="W21" s="106"/>
      <c r="X21" s="122"/>
      <c r="Y21" s="107"/>
      <c r="Z21" s="125"/>
      <c r="AA21" s="108"/>
    </row>
    <row r="22" spans="1:27" ht="26" x14ac:dyDescent="0.2">
      <c r="A22" s="133" t="s">
        <v>421</v>
      </c>
      <c r="B22" s="134">
        <v>1</v>
      </c>
      <c r="C22" s="134">
        <v>180</v>
      </c>
      <c r="D22" s="135">
        <v>1</v>
      </c>
      <c r="E22" s="104">
        <v>1</v>
      </c>
      <c r="F22" s="104">
        <v>6</v>
      </c>
      <c r="G22" s="104">
        <v>13</v>
      </c>
      <c r="H22" s="104">
        <v>18</v>
      </c>
      <c r="I22" s="104">
        <v>1</v>
      </c>
      <c r="J22" s="104">
        <v>3</v>
      </c>
      <c r="K22" s="104">
        <v>38.299999999999997</v>
      </c>
      <c r="L22" s="104">
        <v>7</v>
      </c>
      <c r="M22" s="104">
        <v>1</v>
      </c>
      <c r="N22" s="104">
        <v>370</v>
      </c>
      <c r="O22" s="105">
        <v>530</v>
      </c>
      <c r="P22" s="106">
        <v>0.45555555555555549</v>
      </c>
      <c r="Q22" s="106">
        <v>9.5014618758261615E-2</v>
      </c>
      <c r="R22" s="106">
        <v>1.0344444444444445</v>
      </c>
      <c r="S22" s="106">
        <v>0.17889320215642007</v>
      </c>
      <c r="T22" s="106">
        <v>1.49</v>
      </c>
      <c r="U22" s="106">
        <v>0.15157506391224113</v>
      </c>
      <c r="V22" s="106">
        <f t="shared" si="0"/>
        <v>0.30574198359433252</v>
      </c>
      <c r="W22" s="106"/>
      <c r="X22" s="122"/>
      <c r="Y22" s="107"/>
      <c r="Z22" s="125"/>
      <c r="AA22" s="108"/>
    </row>
    <row r="23" spans="1:27" ht="26" x14ac:dyDescent="0.2">
      <c r="A23" s="133" t="s">
        <v>422</v>
      </c>
      <c r="B23" s="134">
        <v>1</v>
      </c>
      <c r="C23" s="134">
        <v>300</v>
      </c>
      <c r="D23" s="135">
        <v>1</v>
      </c>
      <c r="E23" s="104">
        <v>1</v>
      </c>
      <c r="F23" s="104">
        <v>6</v>
      </c>
      <c r="G23" s="104">
        <v>13</v>
      </c>
      <c r="H23" s="104">
        <v>18</v>
      </c>
      <c r="I23" s="104">
        <v>1</v>
      </c>
      <c r="J23" s="104">
        <v>3</v>
      </c>
      <c r="K23" s="104">
        <v>38.299999999999997</v>
      </c>
      <c r="L23" s="104">
        <v>7</v>
      </c>
      <c r="M23" s="104">
        <v>1</v>
      </c>
      <c r="N23" s="104">
        <v>370</v>
      </c>
      <c r="O23" s="105">
        <v>530</v>
      </c>
      <c r="P23" s="106">
        <v>0.48666666666666675</v>
      </c>
      <c r="Q23" s="106">
        <v>4.4158804331639247E-2</v>
      </c>
      <c r="R23" s="106">
        <v>1.0399999999999998</v>
      </c>
      <c r="S23" s="106">
        <v>9.836157786453005E-2</v>
      </c>
      <c r="T23" s="106">
        <v>1.5266666666666666</v>
      </c>
      <c r="U23" s="106">
        <v>8.789197915623477E-2</v>
      </c>
      <c r="V23" s="106">
        <f t="shared" si="0"/>
        <v>0.31877729257641929</v>
      </c>
      <c r="W23" s="106"/>
      <c r="X23" s="122"/>
      <c r="Y23" s="107"/>
      <c r="Z23" s="125"/>
      <c r="AA23" s="108"/>
    </row>
    <row r="24" spans="1:27" ht="26" x14ac:dyDescent="0.2">
      <c r="A24" s="133" t="s">
        <v>423</v>
      </c>
      <c r="B24" s="134">
        <v>1</v>
      </c>
      <c r="C24" s="134">
        <v>600</v>
      </c>
      <c r="D24" s="135">
        <v>1</v>
      </c>
      <c r="E24" s="104">
        <v>1</v>
      </c>
      <c r="F24" s="104">
        <v>6</v>
      </c>
      <c r="G24" s="104">
        <v>13</v>
      </c>
      <c r="H24" s="104">
        <v>18</v>
      </c>
      <c r="I24" s="104">
        <v>1</v>
      </c>
      <c r="J24" s="104">
        <v>3</v>
      </c>
      <c r="K24" s="104">
        <v>38.299999999999997</v>
      </c>
      <c r="L24" s="104">
        <v>7</v>
      </c>
      <c r="M24" s="104">
        <v>1</v>
      </c>
      <c r="N24" s="104">
        <v>370</v>
      </c>
      <c r="O24" s="105">
        <v>530</v>
      </c>
      <c r="P24" s="106">
        <v>0.51</v>
      </c>
      <c r="Q24" s="106">
        <v>2.4494897427831803E-2</v>
      </c>
      <c r="R24" s="106">
        <v>1.0544444444444443</v>
      </c>
      <c r="S24" s="106">
        <v>0.10137937550497034</v>
      </c>
      <c r="T24" s="106">
        <v>1.5644444444444443</v>
      </c>
      <c r="U24" s="106">
        <v>9.837569708915804E-2</v>
      </c>
      <c r="V24" s="106">
        <f t="shared" si="0"/>
        <v>0.32599431818181823</v>
      </c>
      <c r="W24" s="106"/>
      <c r="X24" s="122"/>
      <c r="Y24" s="107"/>
      <c r="Z24" s="125"/>
      <c r="AA24" s="108"/>
    </row>
    <row r="25" spans="1:27" ht="26" x14ac:dyDescent="0.2">
      <c r="A25" s="133" t="s">
        <v>424</v>
      </c>
      <c r="B25" s="134">
        <v>1</v>
      </c>
      <c r="C25" s="134">
        <v>1200</v>
      </c>
      <c r="D25" s="135">
        <v>1</v>
      </c>
      <c r="E25" s="104">
        <v>1</v>
      </c>
      <c r="F25" s="104">
        <v>6</v>
      </c>
      <c r="G25" s="104">
        <v>13</v>
      </c>
      <c r="H25" s="104">
        <v>18</v>
      </c>
      <c r="I25" s="104">
        <v>1</v>
      </c>
      <c r="J25" s="104">
        <v>3</v>
      </c>
      <c r="K25" s="104">
        <v>38.299999999999997</v>
      </c>
      <c r="L25" s="104">
        <v>7</v>
      </c>
      <c r="M25" s="104">
        <v>1</v>
      </c>
      <c r="N25" s="104">
        <v>370</v>
      </c>
      <c r="O25" s="105">
        <v>530</v>
      </c>
      <c r="P25" s="106">
        <v>0.62222222222222223</v>
      </c>
      <c r="Q25" s="106">
        <v>2.9907264074877295E-2</v>
      </c>
      <c r="R25" s="106">
        <v>1.0088888888888889</v>
      </c>
      <c r="S25" s="106">
        <v>5.9628479399994348E-2</v>
      </c>
      <c r="T25" s="106">
        <v>1.6311111111111112</v>
      </c>
      <c r="U25" s="106">
        <v>5.158595846847381E-2</v>
      </c>
      <c r="V25" s="106">
        <f t="shared" si="0"/>
        <v>0.38147138964577654</v>
      </c>
      <c r="W25" s="106"/>
      <c r="X25" s="122"/>
      <c r="Y25" s="107"/>
      <c r="Z25" s="125"/>
      <c r="AA25" s="108"/>
    </row>
    <row r="26" spans="1:27" ht="26" x14ac:dyDescent="0.2">
      <c r="A26" s="133" t="s">
        <v>425</v>
      </c>
      <c r="B26" s="134">
        <v>1</v>
      </c>
      <c r="C26" s="134">
        <v>1800</v>
      </c>
      <c r="D26" s="135">
        <v>1</v>
      </c>
      <c r="E26" s="104">
        <v>1</v>
      </c>
      <c r="F26" s="104">
        <v>6</v>
      </c>
      <c r="G26" s="104">
        <v>13</v>
      </c>
      <c r="H26" s="104">
        <v>18</v>
      </c>
      <c r="I26" s="104">
        <v>1</v>
      </c>
      <c r="J26" s="104">
        <v>3</v>
      </c>
      <c r="K26" s="104">
        <v>38.299999999999997</v>
      </c>
      <c r="L26" s="104">
        <v>7</v>
      </c>
      <c r="M26" s="104">
        <v>1</v>
      </c>
      <c r="N26" s="104">
        <v>370</v>
      </c>
      <c r="O26" s="105">
        <v>530</v>
      </c>
      <c r="P26" s="106">
        <v>0.66777777777777791</v>
      </c>
      <c r="Q26" s="106">
        <v>3.9930495169036448E-2</v>
      </c>
      <c r="R26" s="106">
        <v>1.072432222222222</v>
      </c>
      <c r="S26" s="106">
        <v>0.10845221509370001</v>
      </c>
      <c r="T26" s="106">
        <v>1.74021</v>
      </c>
      <c r="U26" s="106">
        <v>0.10083371714999764</v>
      </c>
      <c r="V26" s="106">
        <f t="shared" si="0"/>
        <v>0.38373401932972334</v>
      </c>
      <c r="W26" s="106"/>
      <c r="X26" s="122"/>
      <c r="Y26" s="107"/>
      <c r="Z26" s="125"/>
      <c r="AA26" s="108"/>
    </row>
    <row r="27" spans="1:27" ht="26" x14ac:dyDescent="0.2">
      <c r="A27" s="133" t="s">
        <v>426</v>
      </c>
      <c r="B27" s="134">
        <v>1</v>
      </c>
      <c r="C27" s="134">
        <v>3600</v>
      </c>
      <c r="D27" s="135">
        <v>1</v>
      </c>
      <c r="E27" s="104">
        <v>1</v>
      </c>
      <c r="F27" s="104">
        <v>6</v>
      </c>
      <c r="G27" s="104">
        <v>13</v>
      </c>
      <c r="H27" s="104">
        <v>18</v>
      </c>
      <c r="I27" s="104">
        <v>1</v>
      </c>
      <c r="J27" s="104">
        <v>3</v>
      </c>
      <c r="K27" s="104">
        <v>38.299999999999997</v>
      </c>
      <c r="L27" s="104">
        <v>7</v>
      </c>
      <c r="M27" s="104">
        <v>1</v>
      </c>
      <c r="N27" s="104">
        <v>370</v>
      </c>
      <c r="O27" s="105">
        <v>530</v>
      </c>
      <c r="P27" s="106">
        <v>0.73888888888888893</v>
      </c>
      <c r="Q27" s="106">
        <v>7.6557893852372327E-2</v>
      </c>
      <c r="R27" s="106">
        <v>1.0677777777777779</v>
      </c>
      <c r="S27" s="106">
        <v>0.1915361874714831</v>
      </c>
      <c r="T27" s="106">
        <v>1.8066666666666669</v>
      </c>
      <c r="U27" s="106">
        <v>0.17557049866079441</v>
      </c>
      <c r="V27" s="106">
        <f>P27/T27</f>
        <v>0.40897908979089787</v>
      </c>
      <c r="W27" s="106"/>
      <c r="X27" s="122"/>
      <c r="Y27" s="107"/>
      <c r="Z27" s="125"/>
      <c r="AA27" s="108"/>
    </row>
    <row r="28" spans="1:27" ht="26" x14ac:dyDescent="0.2">
      <c r="A28" s="133" t="s">
        <v>426</v>
      </c>
      <c r="B28" s="134">
        <v>1</v>
      </c>
      <c r="C28" s="134">
        <v>7200</v>
      </c>
      <c r="D28" s="135">
        <v>1</v>
      </c>
      <c r="E28" s="104">
        <v>1</v>
      </c>
      <c r="F28" s="104">
        <v>6</v>
      </c>
      <c r="G28" s="104">
        <v>13</v>
      </c>
      <c r="H28" s="104">
        <v>18</v>
      </c>
      <c r="I28" s="104">
        <v>1</v>
      </c>
      <c r="J28" s="104">
        <v>3</v>
      </c>
      <c r="K28" s="104">
        <v>38.299999999999997</v>
      </c>
      <c r="L28" s="104">
        <v>7</v>
      </c>
      <c r="M28" s="104">
        <v>1</v>
      </c>
      <c r="N28" s="104">
        <v>370</v>
      </c>
      <c r="O28" s="105">
        <v>530</v>
      </c>
      <c r="P28" s="106">
        <v>0.7533333333333333</v>
      </c>
      <c r="Q28" s="106">
        <v>0.10062305898749134</v>
      </c>
      <c r="R28" s="106">
        <v>1.0722222222222224</v>
      </c>
      <c r="S28" s="106">
        <v>0.21325519402297785</v>
      </c>
      <c r="T28" s="106">
        <v>1.8255555555555556</v>
      </c>
      <c r="U28" s="106">
        <v>0.18802334370438625</v>
      </c>
      <c r="V28" s="106">
        <f t="shared" si="0"/>
        <v>0.41265976871576382</v>
      </c>
      <c r="W28" s="106"/>
      <c r="X28" s="122"/>
      <c r="Y28" s="107"/>
      <c r="Z28" s="125"/>
      <c r="AA28" s="108"/>
    </row>
    <row r="29" spans="1:27" ht="26" x14ac:dyDescent="0.2">
      <c r="A29" s="133" t="s">
        <v>427</v>
      </c>
      <c r="B29" s="134">
        <v>1.5</v>
      </c>
      <c r="C29" s="134">
        <v>30</v>
      </c>
      <c r="D29" s="135">
        <v>1</v>
      </c>
      <c r="E29" s="104">
        <v>1</v>
      </c>
      <c r="F29" s="104">
        <v>6</v>
      </c>
      <c r="G29" s="104">
        <v>13</v>
      </c>
      <c r="H29" s="104">
        <v>18</v>
      </c>
      <c r="I29" s="104">
        <v>1</v>
      </c>
      <c r="J29" s="104">
        <v>3</v>
      </c>
      <c r="K29" s="104">
        <v>38.299999999999997</v>
      </c>
      <c r="L29" s="104">
        <v>7</v>
      </c>
      <c r="M29" s="104">
        <v>1</v>
      </c>
      <c r="N29" s="104">
        <v>370</v>
      </c>
      <c r="O29" s="105">
        <v>530</v>
      </c>
      <c r="P29" s="129">
        <v>0.39333333333333337</v>
      </c>
      <c r="Q29" s="129">
        <v>3.0550504633038936E-2</v>
      </c>
      <c r="R29" s="129">
        <v>1.6500000000000001</v>
      </c>
      <c r="S29" s="129">
        <v>3.696845502136472E-2</v>
      </c>
      <c r="T29" s="129">
        <v>2.0433333333333334</v>
      </c>
      <c r="U29" s="129">
        <v>2.0816659994661313E-2</v>
      </c>
      <c r="V29" s="106">
        <f t="shared" si="0"/>
        <v>0.19249592169657423</v>
      </c>
      <c r="W29" s="106"/>
      <c r="X29" s="122"/>
      <c r="Y29" s="107"/>
      <c r="Z29" s="125"/>
      <c r="AA29" s="108"/>
    </row>
    <row r="30" spans="1:27" ht="26" x14ac:dyDescent="0.2">
      <c r="A30" s="133" t="s">
        <v>428</v>
      </c>
      <c r="B30" s="134">
        <v>1.5</v>
      </c>
      <c r="C30" s="134">
        <v>60</v>
      </c>
      <c r="D30" s="135">
        <v>1</v>
      </c>
      <c r="E30" s="104">
        <v>1</v>
      </c>
      <c r="F30" s="104">
        <v>6</v>
      </c>
      <c r="G30" s="104">
        <v>13</v>
      </c>
      <c r="H30" s="104">
        <v>18</v>
      </c>
      <c r="I30" s="104">
        <v>1</v>
      </c>
      <c r="J30" s="104">
        <v>3</v>
      </c>
      <c r="K30" s="104">
        <v>38.299999999999997</v>
      </c>
      <c r="L30" s="104">
        <v>7</v>
      </c>
      <c r="M30" s="104">
        <v>1</v>
      </c>
      <c r="N30" s="104">
        <v>370</v>
      </c>
      <c r="O30" s="105">
        <v>530</v>
      </c>
      <c r="P30" s="106">
        <v>0.71444444444444455</v>
      </c>
      <c r="Q30" s="106">
        <v>0.19397880754808625</v>
      </c>
      <c r="R30" s="106">
        <v>1.1311111111111107</v>
      </c>
      <c r="S30" s="106">
        <v>0.2443472028805635</v>
      </c>
      <c r="T30" s="106">
        <v>1.8455555555555554</v>
      </c>
      <c r="U30" s="106">
        <v>0.14858592725348446</v>
      </c>
      <c r="V30" s="106">
        <f t="shared" si="0"/>
        <v>0.38711619506321504</v>
      </c>
      <c r="W30" s="106"/>
      <c r="X30" s="122"/>
      <c r="Y30" s="107"/>
      <c r="Z30" s="125"/>
      <c r="AA30" s="108"/>
    </row>
    <row r="31" spans="1:27" ht="26" x14ac:dyDescent="0.2">
      <c r="A31" s="133" t="s">
        <v>429</v>
      </c>
      <c r="B31" s="134">
        <v>1.5</v>
      </c>
      <c r="C31" s="134">
        <v>90</v>
      </c>
      <c r="D31" s="135">
        <v>1</v>
      </c>
      <c r="E31" s="104">
        <v>1</v>
      </c>
      <c r="F31" s="104">
        <v>6</v>
      </c>
      <c r="G31" s="104">
        <v>13</v>
      </c>
      <c r="H31" s="104">
        <v>18</v>
      </c>
      <c r="I31" s="104">
        <v>1</v>
      </c>
      <c r="J31" s="104">
        <v>3</v>
      </c>
      <c r="K31" s="104">
        <v>38.299999999999997</v>
      </c>
      <c r="L31" s="104">
        <v>7</v>
      </c>
      <c r="M31" s="104">
        <v>1</v>
      </c>
      <c r="N31" s="104">
        <v>370</v>
      </c>
      <c r="O31" s="105">
        <v>530</v>
      </c>
      <c r="P31" s="106">
        <v>0.73333333333333339</v>
      </c>
      <c r="Q31" s="106">
        <v>0.19805302320338347</v>
      </c>
      <c r="R31" s="106">
        <v>1.1577777777777776</v>
      </c>
      <c r="S31" s="106">
        <v>0.24664977419635126</v>
      </c>
      <c r="T31" s="106">
        <v>1.891111111111111</v>
      </c>
      <c r="U31" s="106">
        <v>0.14700718047466629</v>
      </c>
      <c r="V31" s="106">
        <f t="shared" si="0"/>
        <v>0.38777908343125739</v>
      </c>
      <c r="W31" s="106"/>
      <c r="X31" s="122"/>
      <c r="Y31" s="107"/>
      <c r="Z31" s="125"/>
      <c r="AA31" s="108"/>
    </row>
    <row r="32" spans="1:27" ht="26" x14ac:dyDescent="0.2">
      <c r="A32" s="133" t="s">
        <v>427</v>
      </c>
      <c r="B32" s="134">
        <v>1.5</v>
      </c>
      <c r="C32" s="134">
        <v>120</v>
      </c>
      <c r="D32" s="135">
        <v>1</v>
      </c>
      <c r="E32" s="104">
        <v>1</v>
      </c>
      <c r="F32" s="104">
        <v>6</v>
      </c>
      <c r="G32" s="104">
        <v>13</v>
      </c>
      <c r="H32" s="104">
        <v>18</v>
      </c>
      <c r="I32" s="104">
        <v>1</v>
      </c>
      <c r="J32" s="104">
        <v>3</v>
      </c>
      <c r="K32" s="104">
        <v>38.299999999999997</v>
      </c>
      <c r="L32" s="104">
        <v>7</v>
      </c>
      <c r="M32" s="104">
        <v>1</v>
      </c>
      <c r="N32" s="104">
        <v>370</v>
      </c>
      <c r="O32" s="105">
        <v>530</v>
      </c>
      <c r="P32" s="106">
        <v>0.75777777777777766</v>
      </c>
      <c r="Q32" s="106">
        <v>0.22072481610467939</v>
      </c>
      <c r="R32" s="106">
        <v>1.1533333333333333</v>
      </c>
      <c r="S32" s="106">
        <v>0.25957764841287018</v>
      </c>
      <c r="T32" s="106">
        <v>1.911111111111111</v>
      </c>
      <c r="U32" s="106">
        <v>0.13660567744830779</v>
      </c>
      <c r="V32" s="106">
        <f t="shared" si="0"/>
        <v>0.39651162790697669</v>
      </c>
      <c r="W32" s="106"/>
      <c r="X32" s="122"/>
      <c r="Y32" s="107"/>
      <c r="Z32" s="125"/>
      <c r="AA32" s="108"/>
    </row>
    <row r="33" spans="1:27" ht="26" x14ac:dyDescent="0.2">
      <c r="A33" s="133" t="s">
        <v>428</v>
      </c>
      <c r="B33" s="134">
        <v>1.5</v>
      </c>
      <c r="C33" s="134">
        <v>150</v>
      </c>
      <c r="D33" s="135">
        <v>1</v>
      </c>
      <c r="E33" s="104">
        <v>1</v>
      </c>
      <c r="F33" s="104">
        <v>6</v>
      </c>
      <c r="G33" s="104">
        <v>13</v>
      </c>
      <c r="H33" s="104">
        <v>18</v>
      </c>
      <c r="I33" s="104">
        <v>1</v>
      </c>
      <c r="J33" s="104">
        <v>3</v>
      </c>
      <c r="K33" s="104">
        <v>38.299999999999997</v>
      </c>
      <c r="L33" s="104">
        <v>7</v>
      </c>
      <c r="M33" s="104">
        <v>1</v>
      </c>
      <c r="N33" s="104">
        <v>370</v>
      </c>
      <c r="O33" s="105">
        <v>530</v>
      </c>
      <c r="P33" s="106">
        <v>0.75333333333333319</v>
      </c>
      <c r="Q33" s="106">
        <v>0.21679483388678886</v>
      </c>
      <c r="R33" s="106">
        <v>1.1400000000000001</v>
      </c>
      <c r="S33" s="106">
        <v>0.2443869881969995</v>
      </c>
      <c r="T33" s="106">
        <v>1.8933333333333333</v>
      </c>
      <c r="U33" s="106">
        <v>0.11280514172678478</v>
      </c>
      <c r="V33" s="106">
        <f t="shared" si="0"/>
        <v>0.39788732394366189</v>
      </c>
      <c r="W33" s="106"/>
      <c r="X33" s="122"/>
      <c r="Y33" s="107"/>
      <c r="Z33" s="125"/>
      <c r="AA33" s="108"/>
    </row>
    <row r="34" spans="1:27" ht="26" x14ac:dyDescent="0.2">
      <c r="A34" s="133" t="s">
        <v>429</v>
      </c>
      <c r="B34" s="134">
        <v>1.5</v>
      </c>
      <c r="C34" s="134">
        <v>180</v>
      </c>
      <c r="D34" s="135">
        <v>1</v>
      </c>
      <c r="E34" s="104">
        <v>1</v>
      </c>
      <c r="F34" s="104">
        <v>6</v>
      </c>
      <c r="G34" s="104">
        <v>13</v>
      </c>
      <c r="H34" s="104">
        <v>18</v>
      </c>
      <c r="I34" s="104">
        <v>1</v>
      </c>
      <c r="J34" s="104">
        <v>3</v>
      </c>
      <c r="K34" s="104">
        <v>38.299999999999997</v>
      </c>
      <c r="L34" s="104">
        <v>7</v>
      </c>
      <c r="M34" s="104">
        <v>1</v>
      </c>
      <c r="N34" s="104">
        <v>370</v>
      </c>
      <c r="O34" s="105">
        <v>530</v>
      </c>
      <c r="P34" s="106">
        <v>0.75222222222222235</v>
      </c>
      <c r="Q34" s="106">
        <v>0.21087779504832732</v>
      </c>
      <c r="R34" s="106">
        <v>1.2044444444444442</v>
      </c>
      <c r="S34" s="106">
        <v>0.24908722256359186</v>
      </c>
      <c r="T34" s="106">
        <v>1.9566666666666666</v>
      </c>
      <c r="U34" s="106">
        <v>0.13257073583562853</v>
      </c>
      <c r="V34" s="106">
        <f t="shared" si="0"/>
        <v>0.38444065871663835</v>
      </c>
      <c r="W34" s="106"/>
      <c r="X34" s="122"/>
      <c r="Y34" s="107"/>
      <c r="Z34" s="125"/>
      <c r="AA34" s="108"/>
    </row>
    <row r="35" spans="1:27" ht="26" x14ac:dyDescent="0.2">
      <c r="A35" s="133" t="s">
        <v>430</v>
      </c>
      <c r="B35" s="134">
        <v>1.5</v>
      </c>
      <c r="C35" s="134">
        <v>300</v>
      </c>
      <c r="D35" s="135">
        <v>1</v>
      </c>
      <c r="E35" s="104">
        <v>1</v>
      </c>
      <c r="F35" s="104">
        <v>6</v>
      </c>
      <c r="G35" s="104">
        <v>13</v>
      </c>
      <c r="H35" s="104">
        <v>18</v>
      </c>
      <c r="I35" s="104">
        <v>1</v>
      </c>
      <c r="J35" s="104">
        <v>3</v>
      </c>
      <c r="K35" s="104">
        <v>38.299999999999997</v>
      </c>
      <c r="L35" s="104">
        <v>7</v>
      </c>
      <c r="M35" s="104">
        <v>1</v>
      </c>
      <c r="N35" s="104">
        <v>370</v>
      </c>
      <c r="O35" s="105">
        <v>530</v>
      </c>
      <c r="P35" s="106">
        <v>0.75777777777777777</v>
      </c>
      <c r="Q35" s="106">
        <v>0.21288364062192369</v>
      </c>
      <c r="R35" s="106">
        <v>1.1211111111111109</v>
      </c>
      <c r="S35" s="106">
        <v>0.24775099506471301</v>
      </c>
      <c r="T35" s="106">
        <v>1.8788888888888888</v>
      </c>
      <c r="U35" s="106">
        <v>0.12673243906400244</v>
      </c>
      <c r="V35" s="106">
        <f t="shared" si="0"/>
        <v>0.40331164991129509</v>
      </c>
      <c r="W35" s="106"/>
      <c r="X35" s="122"/>
      <c r="Y35" s="107"/>
      <c r="Z35" s="125"/>
      <c r="AA35" s="108"/>
    </row>
    <row r="36" spans="1:27" ht="26" x14ac:dyDescent="0.2">
      <c r="A36" s="133" t="s">
        <v>429</v>
      </c>
      <c r="B36" s="134">
        <v>1.5</v>
      </c>
      <c r="C36" s="134">
        <v>600</v>
      </c>
      <c r="D36" s="135">
        <v>1</v>
      </c>
      <c r="E36" s="104">
        <v>1</v>
      </c>
      <c r="F36" s="104">
        <v>6</v>
      </c>
      <c r="G36" s="104">
        <v>13</v>
      </c>
      <c r="H36" s="104">
        <v>18</v>
      </c>
      <c r="I36" s="104">
        <v>1</v>
      </c>
      <c r="J36" s="104">
        <v>3</v>
      </c>
      <c r="K36" s="104">
        <v>38.299999999999997</v>
      </c>
      <c r="L36" s="104">
        <v>7</v>
      </c>
      <c r="M36" s="104">
        <v>1</v>
      </c>
      <c r="N36" s="104">
        <v>370</v>
      </c>
      <c r="O36" s="105">
        <v>530</v>
      </c>
      <c r="P36" s="106">
        <v>0.76666666666666672</v>
      </c>
      <c r="Q36" s="106">
        <v>0.17599715906797972</v>
      </c>
      <c r="R36" s="106">
        <v>1.1144444444444446</v>
      </c>
      <c r="S36" s="106">
        <v>0.19528469246490074</v>
      </c>
      <c r="T36" s="106">
        <v>1.8811111111111112</v>
      </c>
      <c r="U36" s="106">
        <v>8.4623348498574003E-2</v>
      </c>
      <c r="V36" s="106">
        <f>P36/T36</f>
        <v>0.4075605434140579</v>
      </c>
      <c r="W36" s="106"/>
      <c r="X36" s="122"/>
      <c r="Y36" s="107"/>
      <c r="Z36" s="125"/>
      <c r="AA36" s="108"/>
    </row>
    <row r="37" spans="1:27" ht="26" x14ac:dyDescent="0.2">
      <c r="A37" s="133" t="s">
        <v>427</v>
      </c>
      <c r="B37" s="134">
        <v>1.5</v>
      </c>
      <c r="C37" s="134">
        <v>1200</v>
      </c>
      <c r="D37" s="135">
        <v>1</v>
      </c>
      <c r="E37" s="104">
        <v>1</v>
      </c>
      <c r="F37" s="104">
        <v>6</v>
      </c>
      <c r="G37" s="104">
        <v>13</v>
      </c>
      <c r="H37" s="104">
        <v>18</v>
      </c>
      <c r="I37" s="104">
        <v>1</v>
      </c>
      <c r="J37" s="104">
        <v>3</v>
      </c>
      <c r="K37" s="104">
        <v>38.299999999999997</v>
      </c>
      <c r="L37" s="104">
        <v>7</v>
      </c>
      <c r="M37" s="104">
        <v>1</v>
      </c>
      <c r="N37" s="104">
        <v>370</v>
      </c>
      <c r="O37" s="105">
        <v>530</v>
      </c>
      <c r="P37" s="106">
        <v>0.84777777777777785</v>
      </c>
      <c r="Q37" s="106">
        <v>0.13026682019779393</v>
      </c>
      <c r="R37" s="106">
        <v>1.1333333333333329</v>
      </c>
      <c r="S37" s="106">
        <v>0.20200385034834234</v>
      </c>
      <c r="T37" s="106">
        <v>1.9811111111111108</v>
      </c>
      <c r="U37" s="106">
        <v>0.15438947862827671</v>
      </c>
      <c r="V37" s="106">
        <f t="shared" si="0"/>
        <v>0.42793045429052168</v>
      </c>
      <c r="W37" s="106"/>
      <c r="X37" s="122"/>
      <c r="Y37" s="107"/>
      <c r="Z37" s="125"/>
      <c r="AA37" s="108"/>
    </row>
    <row r="38" spans="1:27" ht="26" x14ac:dyDescent="0.2">
      <c r="A38" s="133" t="s">
        <v>428</v>
      </c>
      <c r="B38" s="134">
        <v>1.5</v>
      </c>
      <c r="C38" s="134">
        <v>1800</v>
      </c>
      <c r="D38" s="135">
        <v>1</v>
      </c>
      <c r="E38" s="104">
        <v>1</v>
      </c>
      <c r="F38" s="104">
        <v>6</v>
      </c>
      <c r="G38" s="104">
        <v>13</v>
      </c>
      <c r="H38" s="104">
        <v>18</v>
      </c>
      <c r="I38" s="104">
        <v>1</v>
      </c>
      <c r="J38" s="104">
        <v>3</v>
      </c>
      <c r="K38" s="104">
        <v>38.299999999999997</v>
      </c>
      <c r="L38" s="104">
        <v>7</v>
      </c>
      <c r="M38" s="104">
        <v>1</v>
      </c>
      <c r="N38" s="104">
        <v>370</v>
      </c>
      <c r="O38" s="105">
        <v>530</v>
      </c>
      <c r="P38" s="106">
        <v>0.79111111111111099</v>
      </c>
      <c r="Q38" s="106">
        <v>9.2526272545214103E-2</v>
      </c>
      <c r="R38" s="106">
        <v>1.2877777777777779</v>
      </c>
      <c r="S38" s="106">
        <v>0.10318537794776136</v>
      </c>
      <c r="T38" s="106">
        <v>2.0788888888888888</v>
      </c>
      <c r="U38" s="106">
        <v>4.5673965353482449E-2</v>
      </c>
      <c r="V38" s="106">
        <f t="shared" si="0"/>
        <v>0.38054516301443075</v>
      </c>
      <c r="W38" s="106"/>
      <c r="X38" s="122"/>
      <c r="Y38" s="107"/>
      <c r="Z38" s="125"/>
      <c r="AA38" s="108"/>
    </row>
    <row r="39" spans="1:27" ht="26" x14ac:dyDescent="0.2">
      <c r="A39" s="133" t="s">
        <v>429</v>
      </c>
      <c r="B39" s="134">
        <v>1.5</v>
      </c>
      <c r="C39" s="134">
        <v>3600</v>
      </c>
      <c r="D39" s="135">
        <v>1</v>
      </c>
      <c r="E39" s="104">
        <v>1</v>
      </c>
      <c r="F39" s="104">
        <v>6</v>
      </c>
      <c r="G39" s="104">
        <v>13</v>
      </c>
      <c r="H39" s="104">
        <v>18</v>
      </c>
      <c r="I39" s="104">
        <v>1</v>
      </c>
      <c r="J39" s="104">
        <v>3</v>
      </c>
      <c r="K39" s="104">
        <v>38.299999999999997</v>
      </c>
      <c r="L39" s="104">
        <v>7</v>
      </c>
      <c r="M39" s="104">
        <v>1</v>
      </c>
      <c r="N39" s="104">
        <v>370</v>
      </c>
      <c r="O39" s="105">
        <v>530</v>
      </c>
      <c r="P39" s="106">
        <v>0.79666666666666663</v>
      </c>
      <c r="Q39" s="106">
        <v>8.8175960442741855E-2</v>
      </c>
      <c r="R39" s="106">
        <v>1.2955555555555558</v>
      </c>
      <c r="S39" s="106">
        <v>9.820613241770812E-2</v>
      </c>
      <c r="T39" s="106">
        <v>2.0922222222222224</v>
      </c>
      <c r="U39" s="106">
        <v>4.3237072570242847E-2</v>
      </c>
      <c r="V39" s="106">
        <f t="shared" si="0"/>
        <v>0.38077535847052568</v>
      </c>
      <c r="W39" s="106"/>
      <c r="X39" s="122"/>
      <c r="Y39" s="107"/>
      <c r="Z39" s="125"/>
      <c r="AA39" s="108"/>
    </row>
    <row r="40" spans="1:27" ht="27" thickBot="1" x14ac:dyDescent="0.25">
      <c r="A40" s="133" t="s">
        <v>430</v>
      </c>
      <c r="B40" s="134">
        <v>1.5</v>
      </c>
      <c r="C40" s="134">
        <v>7200</v>
      </c>
      <c r="D40" s="135">
        <v>1</v>
      </c>
      <c r="E40" s="104">
        <v>1</v>
      </c>
      <c r="F40" s="104">
        <v>6</v>
      </c>
      <c r="G40" s="104">
        <v>13</v>
      </c>
      <c r="H40" s="104">
        <v>18</v>
      </c>
      <c r="I40" s="104">
        <v>1</v>
      </c>
      <c r="J40" s="104">
        <v>3</v>
      </c>
      <c r="K40" s="104">
        <v>38.299999999999997</v>
      </c>
      <c r="L40" s="104">
        <v>7</v>
      </c>
      <c r="M40" s="104">
        <v>1</v>
      </c>
      <c r="N40" s="104">
        <v>370</v>
      </c>
      <c r="O40" s="105">
        <v>530</v>
      </c>
      <c r="P40" s="106">
        <v>0.81888888888888878</v>
      </c>
      <c r="Q40" s="106">
        <v>0.12830086169278501</v>
      </c>
      <c r="R40" s="106">
        <v>1.3355555555555563</v>
      </c>
      <c r="S40" s="106">
        <v>0.1301494867023644</v>
      </c>
      <c r="T40" s="106">
        <v>2.1544444444444451</v>
      </c>
      <c r="U40" s="106">
        <v>2.1858128414340025E-2</v>
      </c>
      <c r="V40" s="106">
        <f t="shared" si="0"/>
        <v>0.38009283135636912</v>
      </c>
      <c r="W40" s="106"/>
      <c r="X40" s="122"/>
      <c r="Y40" s="107"/>
      <c r="Z40" s="125"/>
      <c r="AA40" s="108"/>
    </row>
    <row r="41" spans="1:27" x14ac:dyDescent="0.2">
      <c r="A41" s="136" t="s">
        <v>431</v>
      </c>
      <c r="B41" s="137">
        <v>0.1</v>
      </c>
      <c r="C41" s="137">
        <v>30</v>
      </c>
      <c r="D41" s="138">
        <v>1</v>
      </c>
      <c r="E41" s="109">
        <v>1</v>
      </c>
      <c r="F41" s="109">
        <v>6</v>
      </c>
      <c r="G41" s="109">
        <v>13</v>
      </c>
      <c r="H41" s="109">
        <v>18</v>
      </c>
      <c r="I41" s="109">
        <v>1</v>
      </c>
      <c r="J41" s="109">
        <v>3</v>
      </c>
      <c r="K41" s="109">
        <v>38.299999999999997</v>
      </c>
      <c r="L41" s="109">
        <v>7</v>
      </c>
      <c r="M41" s="109">
        <v>1</v>
      </c>
      <c r="N41" s="109">
        <v>370</v>
      </c>
      <c r="O41" s="110">
        <v>530</v>
      </c>
      <c r="P41" s="111">
        <v>0.14666670000000001</v>
      </c>
      <c r="Q41" s="111">
        <v>5.7735E-3</v>
      </c>
      <c r="R41" s="111">
        <v>0.26333329999999999</v>
      </c>
      <c r="S41" s="111">
        <v>1.1547E-2</v>
      </c>
      <c r="T41" s="111">
        <v>0.41</v>
      </c>
      <c r="U41" s="111">
        <v>0.01</v>
      </c>
      <c r="V41" s="106">
        <f t="shared" si="0"/>
        <v>0.35772365853658539</v>
      </c>
      <c r="W41" s="111"/>
      <c r="X41" s="123"/>
      <c r="Y41" s="112"/>
      <c r="Z41" s="126"/>
      <c r="AA41" s="113"/>
    </row>
    <row r="42" spans="1:27" x14ac:dyDescent="0.2">
      <c r="A42" s="133" t="s">
        <v>432</v>
      </c>
      <c r="B42" s="134">
        <v>0.2</v>
      </c>
      <c r="C42" s="134">
        <v>30</v>
      </c>
      <c r="D42" s="135">
        <v>1</v>
      </c>
      <c r="E42" s="104">
        <v>1</v>
      </c>
      <c r="F42" s="104">
        <v>6</v>
      </c>
      <c r="G42" s="104">
        <v>13</v>
      </c>
      <c r="H42" s="104">
        <v>18</v>
      </c>
      <c r="I42" s="104">
        <v>1</v>
      </c>
      <c r="J42" s="104">
        <v>3</v>
      </c>
      <c r="K42" s="104">
        <v>38.299999999999997</v>
      </c>
      <c r="L42" s="104">
        <v>7</v>
      </c>
      <c r="M42" s="104">
        <v>1</v>
      </c>
      <c r="N42" s="104">
        <v>370</v>
      </c>
      <c r="O42" s="105">
        <v>530</v>
      </c>
      <c r="P42" s="106">
        <v>0.13666700000000001</v>
      </c>
      <c r="Q42" s="106">
        <v>5.7735E-3</v>
      </c>
      <c r="R42" s="106">
        <v>0.36666670000000001</v>
      </c>
      <c r="S42" s="106">
        <v>8.1650000000000004E-3</v>
      </c>
      <c r="T42" s="106">
        <v>0.50333329999999998</v>
      </c>
      <c r="U42" s="106">
        <v>5.7735E-3</v>
      </c>
      <c r="V42" s="106">
        <f t="shared" si="0"/>
        <v>0.27152385904131521</v>
      </c>
      <c r="W42" s="106"/>
      <c r="X42" s="122"/>
      <c r="Y42" s="107"/>
      <c r="Z42" s="125"/>
      <c r="AA42" s="108"/>
    </row>
    <row r="43" spans="1:27" x14ac:dyDescent="0.2">
      <c r="A43" s="133" t="s">
        <v>433</v>
      </c>
      <c r="B43" s="134">
        <v>0.3</v>
      </c>
      <c r="C43" s="134">
        <v>30</v>
      </c>
      <c r="D43" s="135">
        <v>1</v>
      </c>
      <c r="E43" s="104">
        <v>1</v>
      </c>
      <c r="F43" s="104">
        <v>6</v>
      </c>
      <c r="G43" s="104">
        <v>13</v>
      </c>
      <c r="H43" s="104">
        <v>18</v>
      </c>
      <c r="I43" s="104">
        <v>1</v>
      </c>
      <c r="J43" s="104">
        <v>3</v>
      </c>
      <c r="K43" s="104">
        <v>38.299999999999997</v>
      </c>
      <c r="L43" s="104">
        <v>7</v>
      </c>
      <c r="M43" s="104">
        <v>1</v>
      </c>
      <c r="N43" s="104">
        <v>370</v>
      </c>
      <c r="O43" s="105">
        <v>530</v>
      </c>
      <c r="P43" s="106">
        <v>0.20666670000000001</v>
      </c>
      <c r="Q43" s="106">
        <v>1.1547E-2</v>
      </c>
      <c r="R43" s="106">
        <v>0.46666669999999999</v>
      </c>
      <c r="S43" s="106">
        <v>2.76887E-2</v>
      </c>
      <c r="T43" s="106">
        <v>0.67333330000000002</v>
      </c>
      <c r="U43" s="106">
        <v>1.52753E-2</v>
      </c>
      <c r="V43" s="106">
        <f t="shared" si="0"/>
        <v>0.30693075776884937</v>
      </c>
      <c r="W43" s="106"/>
      <c r="X43" s="122"/>
      <c r="Y43" s="107"/>
      <c r="Z43" s="125"/>
      <c r="AA43" s="108"/>
    </row>
    <row r="44" spans="1:27" x14ac:dyDescent="0.2">
      <c r="A44" s="133" t="s">
        <v>434</v>
      </c>
      <c r="B44" s="134">
        <v>0.7</v>
      </c>
      <c r="C44" s="134">
        <v>30</v>
      </c>
      <c r="D44" s="135">
        <v>1</v>
      </c>
      <c r="E44" s="104">
        <v>1</v>
      </c>
      <c r="F44" s="104">
        <v>6</v>
      </c>
      <c r="G44" s="104">
        <v>13</v>
      </c>
      <c r="H44" s="104">
        <v>18</v>
      </c>
      <c r="I44" s="104">
        <v>1</v>
      </c>
      <c r="J44" s="104">
        <v>3</v>
      </c>
      <c r="K44" s="104">
        <v>38.299999999999997</v>
      </c>
      <c r="L44" s="104">
        <v>7</v>
      </c>
      <c r="M44" s="104">
        <v>1</v>
      </c>
      <c r="N44" s="104">
        <v>370</v>
      </c>
      <c r="O44" s="105">
        <v>530</v>
      </c>
      <c r="P44" s="106">
        <v>0.24</v>
      </c>
      <c r="Q44" s="106">
        <v>1.7320499999999999E-2</v>
      </c>
      <c r="R44" s="106">
        <v>0.89</v>
      </c>
      <c r="S44" s="106">
        <v>1.7320499999999999E-2</v>
      </c>
      <c r="T44" s="106">
        <v>1.1299999999999999</v>
      </c>
      <c r="U44" s="106">
        <v>0</v>
      </c>
      <c r="V44" s="106">
        <f t="shared" si="0"/>
        <v>0.21238938053097348</v>
      </c>
      <c r="W44" s="106"/>
      <c r="X44" s="122"/>
      <c r="Y44" s="107"/>
      <c r="Z44" s="125"/>
      <c r="AA44" s="108"/>
    </row>
    <row r="45" spans="1:27" x14ac:dyDescent="0.2">
      <c r="A45" s="133" t="s">
        <v>435</v>
      </c>
      <c r="B45" s="134">
        <v>2</v>
      </c>
      <c r="C45" s="134">
        <v>30</v>
      </c>
      <c r="D45" s="135">
        <v>1</v>
      </c>
      <c r="E45" s="104">
        <v>1</v>
      </c>
      <c r="F45" s="104">
        <v>6</v>
      </c>
      <c r="G45" s="104">
        <v>13</v>
      </c>
      <c r="H45" s="104">
        <v>18</v>
      </c>
      <c r="I45" s="104">
        <v>1</v>
      </c>
      <c r="J45" s="104">
        <v>3</v>
      </c>
      <c r="K45" s="104">
        <v>38.299999999999997</v>
      </c>
      <c r="L45" s="104">
        <v>7</v>
      </c>
      <c r="M45" s="104">
        <v>1</v>
      </c>
      <c r="N45" s="104">
        <v>370</v>
      </c>
      <c r="O45" s="105">
        <v>530</v>
      </c>
      <c r="P45" s="106">
        <v>0.406667</v>
      </c>
      <c r="Q45" s="106">
        <v>5.7735E-3</v>
      </c>
      <c r="R45" s="106">
        <v>2.1766670000000001</v>
      </c>
      <c r="S45" s="106">
        <v>2.16025E-2</v>
      </c>
      <c r="T45" s="106">
        <v>2.5833330000000001</v>
      </c>
      <c r="U45" s="106">
        <v>2.08167E-2</v>
      </c>
      <c r="V45" s="106">
        <f>P45/T45</f>
        <v>0.15741950418316183</v>
      </c>
      <c r="W45" s="106"/>
      <c r="X45" s="122"/>
      <c r="Y45" s="107"/>
      <c r="Z45" s="125"/>
      <c r="AA45" s="108"/>
    </row>
    <row r="58" spans="1:27" x14ac:dyDescent="0.2">
      <c r="A58" s="114" t="s">
        <v>436</v>
      </c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</row>
    <row r="59" spans="1:27" x14ac:dyDescent="0.2">
      <c r="A59" s="115" t="s">
        <v>437</v>
      </c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</row>
    <row r="60" spans="1:27" x14ac:dyDescent="0.2">
      <c r="A60" s="116" t="s">
        <v>438</v>
      </c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</row>
    <row r="61" spans="1:27" x14ac:dyDescent="0.2">
      <c r="A61" s="117" t="s">
        <v>439</v>
      </c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</row>
    <row r="62" spans="1:27" x14ac:dyDescent="0.2">
      <c r="A62" s="118" t="s">
        <v>440</v>
      </c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</row>
    <row r="63" spans="1:27" x14ac:dyDescent="0.2">
      <c r="A63" s="119" t="s">
        <v>441</v>
      </c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</row>
    <row r="64" spans="1:27" x14ac:dyDescent="0.2">
      <c r="A64" s="120" t="s">
        <v>442</v>
      </c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</row>
  </sheetData>
  <mergeCells count="12">
    <mergeCell ref="A59:AA59"/>
    <mergeCell ref="A60:AA60"/>
    <mergeCell ref="A61:AA61"/>
    <mergeCell ref="A62:AA62"/>
    <mergeCell ref="A63:AA63"/>
    <mergeCell ref="A64:AA64"/>
    <mergeCell ref="A1:AA1"/>
    <mergeCell ref="A2:AA2"/>
    <mergeCell ref="B3:D3"/>
    <mergeCell ref="E3:O3"/>
    <mergeCell ref="P3:Y3"/>
    <mergeCell ref="A58:AA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ML Dataset</vt:lpstr>
      <vt:lpstr>Legend &amp; Instructions</vt:lpstr>
      <vt:lpstr>Kinetics Parameters</vt:lpstr>
      <vt:lpstr>HFILOH Dwell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Dahiru, Abdulmalik Kona</cp:lastModifiedBy>
  <dcterms:created xsi:type="dcterms:W3CDTF">2026-05-04T21:16:40Z</dcterms:created>
  <dcterms:modified xsi:type="dcterms:W3CDTF">2026-05-11T19:51:01Z</dcterms:modified>
</cp:coreProperties>
</file>